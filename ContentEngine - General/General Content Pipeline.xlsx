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Staging" sheetId="2" r:id="rId6"/>
    <sheet state="visible" name="Review" sheetId="3" r:id="rId7"/>
    <sheet state="visible" name="pricing analysis" sheetId="4" r:id="rId8"/>
  </sheets>
  <definedNames/>
  <calcPr/>
</workbook>
</file>

<file path=xl/sharedStrings.xml><?xml version="1.0" encoding="utf-8"?>
<sst xmlns="http://schemas.openxmlformats.org/spreadsheetml/2006/main" count="67" uniqueCount="40">
  <si>
    <t>category</t>
  </si>
  <si>
    <t>style_guide</t>
  </si>
  <si>
    <t>style_ref_url</t>
  </si>
  <si>
    <t xml:space="preserve">idea_id </t>
  </si>
  <si>
    <t>concept</t>
  </si>
  <si>
    <t>final_prompt</t>
  </si>
  <si>
    <t>ai_filter_reason</t>
  </si>
  <si>
    <t>your_approval</t>
  </si>
  <si>
    <t>status</t>
  </si>
  <si>
    <t>timestamp</t>
  </si>
  <si>
    <t>source</t>
  </si>
  <si>
    <t>resolved_prompt</t>
  </si>
  <si>
    <t>kie_style_url</t>
  </si>
  <si>
    <t>kie_body</t>
  </si>
  <si>
    <t>taskId</t>
  </si>
  <si>
    <t>poll_count</t>
  </si>
  <si>
    <t>next_action</t>
  </si>
  <si>
    <t>result_image_url</t>
  </si>
  <si>
    <t>poll_status</t>
  </si>
  <si>
    <t>drive_file_id</t>
  </si>
  <si>
    <t>drive_link</t>
  </si>
  <si>
    <t>image_formula</t>
  </si>
  <si>
    <t>final_status</t>
  </si>
  <si>
    <t>full_prompt</t>
  </si>
  <si>
    <t>image_preview</t>
  </si>
  <si>
    <t>refinement_notes</t>
  </si>
  <si>
    <t>resume_url</t>
  </si>
  <si>
    <t>Kie (GPT Image 2)</t>
  </si>
  <si>
    <t>Claude Prompts</t>
  </si>
  <si>
    <t>Buffer</t>
  </si>
  <si>
    <t>Totals</t>
  </si>
  <si>
    <t>config:</t>
  </si>
  <si>
    <t>change with your numbers</t>
  </si>
  <si>
    <t>Avg Cost Per Single Gen</t>
  </si>
  <si>
    <t>images per post</t>
  </si>
  <si>
    <t>Cost Per Campaign Per Week</t>
  </si>
  <si>
    <t xml:space="preserve"># of campaigns </t>
  </si>
  <si>
    <t>Total Cost Per Week</t>
  </si>
  <si>
    <t>posts per week</t>
  </si>
  <si>
    <t>Total Cost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</si>
</sst>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2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</v>
      </c>
      <c r="X1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3.88"/>
  </cols>
  <sheetData>
    <row r="1">
      <c r="A1" s="1" t="s">
        <v>3</v>
      </c>
      <c r="B1" s="1" t="s">
        <v>0</v>
      </c>
      <c r="C1" s="1" t="s">
        <v>4</v>
      </c>
      <c r="D1" s="1" t="s">
        <v>5</v>
      </c>
      <c r="E1" s="1" t="s">
        <v>20</v>
      </c>
      <c r="F1" s="1" t="s">
        <v>24</v>
      </c>
      <c r="G1" s="1" t="s">
        <v>8</v>
      </c>
      <c r="H1" s="1" t="s">
        <v>25</v>
      </c>
      <c r="I1" s="1" t="s">
        <v>9</v>
      </c>
      <c r="J1" s="1" t="s">
        <v>6</v>
      </c>
      <c r="K1" s="1" t="s">
        <v>7</v>
      </c>
      <c r="L1" s="1" t="s">
        <v>10</v>
      </c>
      <c r="M1" s="1" t="s">
        <v>11</v>
      </c>
      <c r="N1" s="1" t="s">
        <v>2</v>
      </c>
      <c r="O1" s="1" t="s">
        <v>12</v>
      </c>
      <c r="P1" s="1" t="s">
        <v>26</v>
      </c>
      <c r="Q1" s="1" t="s">
        <v>13</v>
      </c>
      <c r="R1" s="1" t="s">
        <v>17</v>
      </c>
      <c r="S1" s="1" t="s">
        <v>16</v>
      </c>
      <c r="T1" s="1" t="s">
        <v>21</v>
      </c>
      <c r="U1" s="1" t="s">
        <v>22</v>
      </c>
      <c r="V1" s="1" t="s">
        <v>14</v>
      </c>
      <c r="W1" s="1" t="s">
        <v>15</v>
      </c>
      <c r="X1" s="1" t="s">
        <v>18</v>
      </c>
      <c r="Y1" s="1" t="s">
        <v>19</v>
      </c>
      <c r="Z1" s="1" t="s">
        <v>1</v>
      </c>
      <c r="AA1" s="1" t="s">
        <v>23</v>
      </c>
    </row>
    <row r="5">
      <c r="T5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B1" s="1" t="s">
        <v>27</v>
      </c>
      <c r="C1" s="1" t="s">
        <v>28</v>
      </c>
      <c r="D1" s="1" t="s">
        <v>29</v>
      </c>
      <c r="E1" s="1" t="s">
        <v>30</v>
      </c>
      <c r="G1" s="1" t="s">
        <v>31</v>
      </c>
      <c r="H1" s="1" t="s">
        <v>32</v>
      </c>
    </row>
    <row r="2">
      <c r="A2" s="1" t="s">
        <v>33</v>
      </c>
      <c r="B2" s="3">
        <v>0.03</v>
      </c>
      <c r="C2" s="3">
        <v>0.01</v>
      </c>
      <c r="D2" s="3">
        <v>0.0</v>
      </c>
      <c r="E2" s="4"/>
      <c r="G2" s="1" t="s">
        <v>34</v>
      </c>
      <c r="H2" s="1">
        <v>5.0</v>
      </c>
    </row>
    <row r="3">
      <c r="A3" s="1" t="s">
        <v>35</v>
      </c>
      <c r="B3" s="4">
        <f>MULTIPLY(B2*H2, H4)</f>
        <v>1.05</v>
      </c>
      <c r="C3" s="4"/>
      <c r="D3" s="4"/>
      <c r="E3" s="4"/>
      <c r="G3" s="1" t="s">
        <v>36</v>
      </c>
      <c r="H3" s="1">
        <v>5.0</v>
      </c>
    </row>
    <row r="4">
      <c r="A4" s="1" t="s">
        <v>37</v>
      </c>
      <c r="B4" s="4">
        <f>MULTIPLY(B2*H2, H4*H3)</f>
        <v>5.25</v>
      </c>
      <c r="C4" s="4">
        <f>MULTIPLY(C2*H2, H4*H3)</f>
        <v>1.75</v>
      </c>
      <c r="D4" s="4"/>
      <c r="E4" s="4">
        <f t="shared" ref="E4:E5" si="2">SUM(B4:D4)</f>
        <v>7</v>
      </c>
      <c r="G4" s="1" t="s">
        <v>38</v>
      </c>
      <c r="H4" s="1">
        <v>7.0</v>
      </c>
    </row>
    <row r="5">
      <c r="A5" s="1" t="s">
        <v>39</v>
      </c>
      <c r="B5" s="4">
        <f t="shared" ref="B5:C5" si="1">MULTIPLY(B4, 4)</f>
        <v>21</v>
      </c>
      <c r="C5" s="4">
        <f t="shared" si="1"/>
        <v>7</v>
      </c>
      <c r="D5" s="4"/>
      <c r="E5" s="4">
        <f t="shared" si="2"/>
        <v>28</v>
      </c>
    </row>
  </sheetData>
  <drawing r:id="rId1"/>
</worksheet>
</file>