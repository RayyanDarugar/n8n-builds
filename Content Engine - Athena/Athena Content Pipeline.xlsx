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 sheetId="1" r:id="rId5"/>
    <sheet state="visible" name="Staging" sheetId="2" r:id="rId6"/>
    <sheet state="visible" name="Review" sheetId="3" r:id="rId7"/>
    <sheet state="visible" name="pricing analysis" sheetId="4" r:id="rId8"/>
  </sheets>
  <definedNames/>
  <calcPr/>
</workbook>
</file>

<file path=xl/sharedStrings.xml><?xml version="1.0" encoding="utf-8"?>
<sst xmlns="http://schemas.openxmlformats.org/spreadsheetml/2006/main" count="818" uniqueCount="293">
  <si>
    <t>category</t>
  </si>
  <si>
    <t>style_guide</t>
  </si>
  <si>
    <t>beagle_ref_url</t>
  </si>
  <si>
    <t>style_ref_url</t>
  </si>
  <si>
    <t>SAT_MYTH</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</si>
  <si>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Large hand-drawn orange "X" crossing out the statement. The X is the only intentionally rough/imperfect element.
### Main Illustration
One clear visual metaphor that tells the whole story in a single scene. No panels, no split screens — one image. Realistically-proportioned human student (a teenage girl with long dark hair in a ponytail, navy hoodie) in a relatable frustrating situation. The metaphor should make the myth feel obviously wrong without needing text.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</si>
  <si>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https://res.cloudinary.com/a1irmvxv/image/upload/f_auto,q_auto/hf_20260630_002349_744b79a7-84f6-4760-9bb8-95a9d0e040e3_1_jnwc44</t>
  </si>
  <si>
    <t>COMIC</t>
  </si>
  <si>
    <t>ATHENA COMIC SERIES
Vertical social media comic strip (9:16). Expressive ink-and-wash style on warm off-white textured paper. 6 panels per strip. Title banner at top: "SAT LOGIC" in large dark blue hand-drawn letters. Hand-drawn black panel borders that feel slightly organic — not rigid rectangles.
Main Character: The Beagle
Orange and white fur. Floppy brown ears. Highly expressive brown eyes — the emotional engine of every strip. Green collar with tiny gold "A" tag. He's the student stand-in: struggles, celebrates, panics, has small realizations. Never the authority figure.
Supporting Character: Athena
Calm adult woman. Warm, patient expression. Simple clothing — no lab coat, no whiteboard. Appears in 1-2 panels, usually as the pivot. Never lectures. Asks the one short question that flips perspective. Always the same visual appearance — locked.
Color Palette
Off-white paper background. Dark navy blue for titles and borders. Muted orange for Beagle's fur and accent elements. Black for line art and dialogue. Warm beige for furniture. Only these four colors. No purple, no neon, no gradients.
Panel Structure
Setup — Beagle doing something confidently
Escalation — energy builds or first sign of trouble
Hiccup — something goes wrong
Pivot — Athena enters or asks The Question
Beat — silence, processing
Punchline — the honest answer. Usually a single line in ellipses. Small and self-aware. Dialogue All-caps, concise. Athena's lines are 1-5 words — a question that redirects. Beagle's punchlines are tiny and deflated. No lectures, no long speeches. The final panel belongs to Beagle's expression, not more words. Props &amp; Background Minimal. Desk, chair, clock, practice test, stack of books. Same study space returns frequently. Props establish context fast — clock shows time passing, test shows the score. No cluttered frames. Bottom "Athena" in blue script + small blue paw print in the bottom right corner. Never centered. No corporate logo. Tone Relatable, honest, slightly self-deprecating. The reader should feel "oh, same" — not "lol what a failure." The punchlines are about awareness, not solutions. The score rarely changes on-panel.</t>
  </si>
  <si>
    <t>https://res.cloudinary.com/a1irmvxv/image/upload/f_auto,q_auto/hf_20260630_003148_8cdf9166-5c23-4c3d-8c7f-cf7f872a39ce_xgls2u</t>
  </si>
  <si>
    <t>NOTES_APP</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</si>
  <si>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t>
  </si>
  <si>
    <t>https://res.cloudinary.com/a1irmvxv/image/upload/f_auto,q_auto/ChatGPT_Image_Jun_24_2026_02_26_06_PM_x1isth</t>
  </si>
  <si>
    <t>BRAIN_TEASER</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</si>
  <si>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 "Find the pattern." / "Can you solve it?" /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t>
  </si>
  <si>
    <t>https://res.cloudinary.com/a1irmvxv/image/upload/f_auto,q_auto/ChatGPT_Image_Jun_24_2026_02_27_36_PM_avlrpn</t>
  </si>
  <si>
    <t>BEAGLE_EXPLAINS</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</si>
  <si>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t>
  </si>
  <si>
    <t>https://res.cloudinary.com/a1irmvxv/image/upload/f_auto,q_auto/ChatGPT_Image_Jul_13_2026_02_32_35_PM_wx14ep</t>
  </si>
  <si>
    <t xml:space="preserve">idea_id </t>
  </si>
  <si>
    <t>concept</t>
  </si>
  <si>
    <t>final_prompt</t>
  </si>
  <si>
    <t>ai_filter_reason</t>
  </si>
  <si>
    <t>your_approval</t>
  </si>
  <si>
    <t>status</t>
  </si>
  <si>
    <t>timestamp</t>
  </si>
  <si>
    <t>source</t>
  </si>
  <si>
    <t>resolved_prompt</t>
  </si>
  <si>
    <t>kie_style_url</t>
  </si>
  <si>
    <t>kie_body</t>
  </si>
  <si>
    <t>taskId</t>
  </si>
  <si>
    <t>poll_count</t>
  </si>
  <si>
    <t>next_action</t>
  </si>
  <si>
    <t>result_image_url</t>
  </si>
  <si>
    <t>poll_status</t>
  </si>
  <si>
    <t>drive_file_id</t>
  </si>
  <si>
    <t>drive_link</t>
  </si>
  <si>
    <t>image_formula</t>
  </si>
  <si>
    <t>final_status</t>
  </si>
  <si>
    <t>full_prompt</t>
  </si>
  <si>
    <t>The myth that taking the SAT more times guarantees a higher score — when without targeted practice, repetition just reinforces the same mistakes.</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</si>
  <si>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'TAKE IT MORE TIMES AND YOUR SCORE WILL GO UP'. Large hand-drawn orange 'X' crossing out the statement. The X is the only intentionally rough/imperfect element.
### Main Illustration
A teenage girl with long dark hair in a ponytail, wearing a navy hoodie, sits at a school desk. She is taking a written exam. Around her on the floor are three identical crumpled test papers, all marked with the same low score circled in red. She holds a fourth identical exam, pencil in hand, with the exact same frustrated, tired expression — eyes slightly glazed, posture slumped. The visual metaphor: she keeps running the same race with the same shoes and wondering why her time never improves. The repeated failed tests on the floor make it immediately obvious that repetition alone is not the answer. Cream off-white background. Dark navy blue desk and text elements. Warm beige paper tones. Orange limited strictly to the MYTH tag and the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</si>
  <si>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Visually concrete and immediately legible — repeated failed tests on the floor tells the story without words. Myth is genuinely pervasive and will resonate with parents who equate retakes with progress. Fresh angle on a real trap families fall into.</t>
  </si>
  <si>
    <t>done</t>
  </si>
  <si>
    <t>2026-07-14T13:30:10.493-07:00</t>
  </si>
  <si>
    <t>The myth that buying the thickest prep book means your kid is prepared — when 800 pages of unread material is just expensive shelf decoration.</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</si>
  <si>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'A BIGGER PREP BOOK MEANS BETTER PREP'. Large hand-drawn orange 'X' crossing out the statement. The X is the only intentionally rough/imperfect element.
### Main Illustration
A teenage girl with long dark hair in a ponytail, wearing a navy hoodie, sits cross-legged on her bedroom floor. Beside her is a towering, comically oversized SAT prep book — nearly as tall as she is when stacked, spine cracked open to page 1. The book is thick, imposing, and clearly intimidating. The girl stares up at it with wide, overwhelmed, slightly defeated eyes, pencil hanging limply in her hand. A thin layer of dust sits visibly on the top edge of the book's pages, suggesting it has barely been touched. Her backpack and a half-eaten snack sit nearby — she arrived with good intentions. The metaphor is immediate: the book itself has become the obstacle, not the solution. Cream off-white background. Dark navy blue for the book cover lettering and furniture outlines. Warm beige for the book pages and bedroom floor tones. Orange strictly limited to the MYTH tag and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</si>
  <si>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The oversized dusty prep book is a single, instantly readable visual gag with real emotional truth. Parents who bought the $40 Kaplan book will feel seen. Dust detail is a smart storytelling touch. Avoids cliché by making the 'solution' itself the problem.</t>
  </si>
  <si>
    <t>pending_review</t>
  </si>
  <si>
    <t>2026-07-14T13:30:10.496-07:00</t>
  </si>
  <si>
    <t>The myth that smart kids don't need SAT prep — when the SAT tests a specific kind of thinking that even straight-A students have never been taught.</t>
  </si>
  <si>
    <t>## ATHENA SAT MYTH SERIES
Vertical infographic poster (9:16). Editorial illustration style on cream off-white background. Flat, modern, sophisticated — not cartoony. Clean lines, muted palette, professional feel. Visually tells a story through metaphor rather than listing facts.
### Header Hierarchy
Small orange rounded rectangle at top left: 'MYTH:' in white bold uppercase. Below it, the myth statement in large bold dark navy blue uppercase sans-serif: 'IF SHE'S SMART, SHE DOESN'T NEED PREP'. Large hand-drawn orange 'X' crossing out the statement. The X is the only intentionally rough/imperfect element.
### Main Illustration
A teenage girl with long dark hair in a ponytail, wearing a navy hoodie, stands confidently in front of a school locker covered in academic achievement ribbons, honor roll certificates, and straight-A report cards — she is clearly an excellent student. She holds an open SAT practice booklet in her hands and stares at it with a genuinely puzzled, unsettled expression — eyebrows furrowed, head tilted slightly, as if the page is written in a language she has never encountered. Her other hand holds a pencil, frozen mid-air, unsure where to begin. The contrast is the entire story: a wall of proof she is brilliant, and a single page that has stopped her cold. The metaphor communicates that the SAT is its own game, with its own rules — and being smart at school does not automatically mean being prepared for this. Cream off-white background. Dark navy blue for locker, certificates, and text accents. Warm beige for the paper tones of the certificates and booklet pages. Orange strictly limited to the MYTH tag and the hand-drawn X in the header.
### Color Palette
Cream off-white background. Dark navy blue as primary text and accent color. Orange limited to: the MYTH tag, the X mark. Warm beige for secondary elements. No purple, no neon, no gradients.
### The Human Student
Teenage girl. Long dark hair in a ponytail. Navy hoodie. Relatable, not perfect — tired eyes, frustrated posture when the myth is at work, small moment of clarity by the end. She's the emotional entry point for parents thinking of their own kid.
### Tone
Warm authority. Not scolding, not marketing. It's a teacher saying 'you know that thing everyone believes? Yeah, that's wrong — and here's why.' The myths are comforting beliefs that make parents feel productive. The series gently shows why they're not helping.
### What to Avoid
No cartoon Beagle in the illustration. No numbered lists or step-by-step. No dashboard or tech imagery. No 'sign up now' or CTA. No purple, neon, or stock-photo vibes. The series earns engagement by being true — not by asking for it.</t>
  </si>
  <si>
    <t>Honor roll wall vs. frozen pencil is a high-contrast visual that lands hard for parents of high-achievers — arguably the most emotionally charged segment of the SAT prep market. The insight that the SAT is a distinct skill set is genuinely underappreciated and not a tired talking point.</t>
  </si>
  <si>
    <t>2026-07-14T13:30:10.499-07:00</t>
  </si>
  <si>
    <t>The Beagle discovers why eliminating wrong answers is more powerful than searching for the right one.</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</si>
  <si>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crossing out wrong answers works better than finding the right one." The Beagle sits upright at a desk in a medium shot, staring at an SAT practice test with a mildly overwhelmed expression, pencil in paw. Panel 2: Close-up on the Beagle's face, head tilted, brow furrowed. Text reads: "I stared at all 4 answers..." A small hand-drawn question mark floats above the Beagle's head in purple. Panel 3: Side profile shot. The Beagle is hunched over the test, eyes darting between choices. Text reads: "They all kind of... looked right?" Purple doodle of four small arrows pointing in different directions. Panel 4: Medium shot, overhead desk view. The Beagle holds the pencil up mid-air, frozen. Text reads: "So I just... guessed." A small purple X doodle near the answer bubble. Panel 5: Eye-level shot. The Beagle looks directly at the viewer with a soft, curious expression. Text reads: "But here's the thing about SAT questions..." A purple underline beneath "SAT questions." Panel 6: Over-the-shoulder shot showing the Beagle crossing out two answer choices with confident pencil strokes. Text reads: "Two answers are always obviously wrong." Purple X marks drawn through the eliminated choices, hand-drawn style. Panel 7: Medium shot, the Beagle sitting back with a small proud smile, pencil resting on the desk. Text reads: "Now I only have to decide between TWO." Purple emphasis and underline on "TWO." Panel 8 (Aha moment): Close-up on the Beagle's face, eyes wide and bright, a tiny smile forming. Text reads: "Ohhhh... that's the whole game." A hand-drawn purple light bulb glows gently above the Beagle's head. Warm soft studio lighting throughout. Consistent cream and white palette. Realistic painterly Beagle illustration across all panels.</t>
  </si>
  <si>
    <t>Visually concrete panel-by-panel story, elimination strategy is a genuine insight not a cliche, Beagle-as-student avoids AI branding, emotionally relatable arc parents and students would share</t>
  </si>
  <si>
    <t>2026-07-14T13:48:20.141-07:00</t>
  </si>
  <si>
    <t>The Beagle learns why re-reading the question — not the passage — is the secret move in SAT Reading.</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</si>
  <si>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re-reading the question — not the passage — is the secret move in SAT Reading." The Beagle sits at a desk in a medium shot, staring at a dense SAT reading passage with a tired, glazed expression. A desk lamp casts warm light across the page. Panel 2: Close-up on the Beagle's drooping eyes scanning lines of text on a practice test. Text reads: "I read the whole passage." A small hand-drawn purple clock doodle in the corner suggesting time passing. Panel 3: Side profile shot. The Beagle flips back through pages, paw tracing text frantically. Text reads: "Then re-read it trying to find the answer." Purple squiggly lines under "re-read" suggesting stress. Panel 4: Overhead desk view. The Beagle is slumped forward, chin resting on the desk, eyes barely open. Text reads: "I ran out of time. Again." A small hand-drawn purple hourglass doodle near the corner. Panel 5: Eye-level shot. The Beagle sits up, looking curiously at the viewer, one ear slightly raised. Text reads: "Here's what no one tells you..." Purple ellipsis dots trail off with a subtle hand-drawn doodle. Panel 6: Medium shot, the Beagle holding a pencil and pointing directly at the question text on the page — not the passage. Text reads: "The question tells you exactly where to look." Purple arrow drawn pointing down toward the question with emphasis. Panel 7: Over-the-shoulder shot showing the Beagle circling a specific line in the passage confidently, with a small satisfied expression. Text reads: "Read the question first. Then go find it." Purple underline beneath "Read the question first." Panel 8 (Aha moment): Close-up on the Beagle's face, bright wide eyes, a warm relieved smile. Text reads: "Ohhhh... I was reading everything except the right thing." A hand-drawn purple light bulb and small star burst appear beside the Beagle's head. Warm soft studio lighting throughout. Consistent cream and white palette. Realistic painterly Beagle illustration across all panels.</t>
  </si>
  <si>
    <t>Strong visual narrative with clear panel-level actions, question-first reading strategy is practical and underdiscussed, tired Beagle panel is emotionally resonant for overwhelmed students, fresh enough framing to avoid cliche</t>
  </si>
  <si>
    <t>2026-07-14T13:48:20.145-07:00</t>
  </si>
  <si>
    <t>A number sequence puzzle where each term follows a hidden double-operation rule, tricking solvers who only look for addition or multiplication alone.</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</si>
  <si>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"Find the pattern."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displays the number sequence: 2, 5, 11, 23, 47, ? — with each number in large bold black print, separated by commas, followed by a dashed line and one large orange question mark. No explanation or labels. The sequence follows the hidden rule of multiplying by 2 then adding 1 each time, which is not stated anywhere on the poster. The numbers are the only content inside the white rounded rectangle.</t>
  </si>
  <si>
    <t>Clean number sequence renders perfectly as a single image; feels like a clever teacher trick not an AI gimmick; genuinely engaging for students and parents; sequence puzzles are common but the double-operation misdirect keeps it fresh.</t>
  </si>
  <si>
    <t>2026-07-14T17:09:12.901-07:00</t>
  </si>
  <si>
    <t>A classic SAT word-problem trap where a percentage increase followed by the same percentage decrease does not return to the original number, fooling students who assume symmetry.</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</si>
  <si>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"Classic SAT trap."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displays this word problem in bold black hand-drawn text: 'A price goes UP 50%. Then it goes DOWN 50%. Is the final price: higher, lower, or the same as the original?' Below the question is a dashed line and one large orange question mark. The four answer choices are written in bold: A) Higher  B) Lower  C) Same  D) Impossible to tell — arranged in a 2x2 grid inside the white rectangle. The trap is that most people say 'same' but the correct answer is B) Lower, since 50% down is taken from a larger number. No explanation is shown on the poster.</t>
  </si>
  <si>
    <t>Percentage trap is highly visual and SAT-relevant; multiple choice format is explicitly allowed per prompt rules and mirrors real test structure; resonates with parents who've heard about tricky SAT math; not a tired cliché because the counterintuitive result creates genuine surprise.</t>
  </si>
  <si>
    <t>2026-07-14T17:09:12.904-07:00</t>
  </si>
  <si>
    <t>A visual balance-scale logic puzzle where three equations involving fruit icons let you solve for the weight of a single mystery fruit, mimicking SAT systems-of-equations thinking.</t>
  </si>
  <si>
    <t>## ATHENA BRAIN CHALLENGE SERIES
Vertical puzzle poster (9:16). Hand-drawn doodle style on warm cream textured background. Thick black outlines, flat vibrant colors, playful educational feel. Designed for Instagram saves and comments — engagement bait that feels like a gift, not a trap.
### Header Hierarchy
"BRAIN" in very large bold black hand-drawn capital letters. Below it, "CHALLENGE" in even larger bold orange hand-drawn capital letters with a subtle white outline. Below that, a black brushstroke banner with white text "ONLY 5% SOLVE THIS" — the "5%" in orange.
### Center Board
Large white rounded-corner rectangle with thin black border containing the puzzle. Clean math/logic/spatial problem with bold black numbers and symbols. One large orange question mark below a dashed line for the unknown answer. The puzzle itself should take 10-30 seconds to read and feel solvable — not impossibly hard, just clever.
### Bottom Section
Green oval shape with rounded black instruction text: "Think carefully." One line only. Friendly, encouraging, hinting without giving it away.
### Surrounding Doodles
Yellow glowing lightbulb at top left with black shine lines. Scattered small yellow and orange five-pointed stars. Green spiral notebook on middle left. Pink anthropomorphic brain character with black-rimmed glasses in a thinking pose on the right side. Cute Beagle puppy (orange and white, brown eyes, green collar) sitting at bottom left with a thought bubble containing a question mark. Yellow ruler, yellow pencil with pink eraser, small green calculator at bottom right. Black curved arrows pointing toward the puzzle.
### Color Palette
Warm beige/cream background. Bold black line art and text. Muted orange for "CHALLENGE" text and accent elements. Green for notebook and Beagle's collar. Yellow for lightbulb and stars. Pink for brain character. Thick black outlines throughout. Flat colors, minimal shading.
### Tone
Playful and smart. It's a teacher who made a fun worksheet, not a brand running a contest. The puzzles should feel like a treat — a quick mental break that makes you feel good for trying, not bad for missing. The Beagle and brain character add warmth without distracting from the puzzle.
### What to Avoid
No corporate layout or grid design. No thin/clean lines — everything should feel hand-drawn. No real product placement or "sponsored" feel. No multiple choice (except SAT-estimation style ones where the choices are the trap). No puzzles that require outside knowledge. No "link in bio" or CTA. The puzzle is the post.
SPECIFIC CONTENT: The center puzzle board shows three hand-drawn equation rows using simple fruit doodles and bold black numbers, styled like a math worksheet. Row 1: one apple + one apple + one apple = 30. Row 2: one apple + one banana + one banana = 18. Row 3: one banana + one grape + one grape = 14. Below a thick dashed line: one grape = large orange question mark. Each fruit is a small cute hand-drawn icon with thick black outlines — a red apple, a yellow banana, a purple grape cluster. The layout is clean and centered inside the white rectangle. No explanation. Answer: apple=10, banana=4, grape=5.</t>
  </si>
  <si>
    <t>Fruit balance puzzles are visually concrete and immediately scannable; maps cleanly to SAT systems-of-equations without feeling academic; warm doodle icons align well with the hand-drawn Athena brand tone; popular format but the three-variable chain keeps it from feeling stale.</t>
  </si>
  <si>
    <t>2026-07-14T17:09:12.907-07:00</t>
  </si>
  <si>
    <t>notes_001</t>
  </si>
  <si>
    <t>A parent realizes their kid has been pretending to understand the material for months rather than admitting they're lost.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</si>
  <si>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Your kid has been saying "I got it"
for a long time now.
Not because they got it.
Because saying "I don't get it"
felt worse.
There's a difference between
a kid who is struggling
and a kid who has learned
to hide the struggle.
By the time the score comes back,
the hiding has been going on for months.
[PALE YELLOW HIGHLIGHT ON:] They weren't being lazy. They were being brave in the wrong direction.
That's the part that's hard to sit with.
— Athena</t>
  </si>
  <si>
    <t>Emotionally precise, visually executable as a Notes screenshot, names a real parental blind spot without cliche. 'Brave in the wrong direction' is a shareable line.</t>
  </si>
  <si>
    <t>2026-07-14T18:03:19.435-07:00</t>
  </si>
  <si>
    <t>new</t>
  </si>
  <si>
    <t>https://tempfile.redpandaai.co/kieai/11402406/athena-refs/style_ref.jpg</t>
  </si>
  <si>
    <t>{"model":"gpt-image-2-image-to-image","input":{"prompt":"## ATHENA NOTES APP SERIES\nVertical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right.\n### Text Body\nBlack sans-serif system font (San Francisco). Left-aligned with generous line spacing. No bold or italics in the body — keeps the native app feel. The note uses short lines broken for emotional pacing, not prose paragraphs. Em dash before \"— Athena\" at the bottom in the same font.\n### The Highlight\nOne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parent.\n### Copy Structure\nOpener: \"Dear parents,\" (sets the letter format immediately). Establish a relatable situation in 3-5 short lines. Pause on the honest tension. The highlighted line delivers the sting. Close with \"— Athena.\" The note should feel like it was written at 11 PM, not workshopped in a meeting.\n### Color Palette\nOff-white body background. Black text. Yellow for: nav bar elements (back arrow, Notes, Share, More icons) and the highlight marker on the key line. That's it. No orange, no navy blue — this category lives in its own palette separate from the rest of the brand.\n### Tone\nHonest,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name.\n### What to Avoid\nNo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post.\n\nThe note reads:\n\nDear parents,\n\nYour kid has been saying \"I got it\"\nfor a long time now.\n\nNot because they got it.\n\nBecause saying \"I don't get it\"\nfelt worse.\n\nThere's a difference between\na kid who is struggling\nand a kid who has learned\nto hide the struggle.\n\nBy the time the score comes back,\nthe hiding has been going on for months.\n\n[PALE YELLOW HIGHLIGHT ON:] They weren't being lazy. They were being brave in the wrong direction.\n\nThat's the part that's hard to sit with.\n\n— Athena\n\nReference the provided style image to maintain visual consistency in palette, illustration style, and layout.","input_urls":["https://tempfile.redpandaai.co/kieai/11402406/athena-refs/style_ref.jpg"],"aspect_ratio":"4:5"}}</t>
  </si>
  <si>
    <t>7c05e91f112096f0de6732925342affa</t>
  </si>
  <si>
    <t>continue</t>
  </si>
  <si>
    <t>https://tempfile.aiquickdraw.com/images/chatgpt/file_0000000073d4720cada87dd2ab4ea2be.png</t>
  </si>
  <si>
    <t>success</t>
  </si>
  <si>
    <t>1986uKB8ne4rTP2ET6PU4GClKqpOv7qZ4</t>
  </si>
  <si>
    <t>https://drive.google.com/uc?id=1986uKB8ne4rTP2ET6PU4GClKqpOv7qZ4</t>
  </si>
  <si>
    <t>Pending Review</t>
  </si>
  <si>
    <t>notes_002</t>
  </si>
  <si>
    <t>A parent wonders if hiring a tutor means they've failed their kid, when really waiting was the harder cost.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</si>
  <si>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A lot of parents wait.
They think: maybe next month.
Maybe after finals.
Maybe if I just explain it to them myself.
And then six months pass.
The waiting isn't free.
It just feels free
because the cost comes later.
[PALE YELLOW HIGHLIGHT ON:] Getting help isn't giving up on your kid. Waiting until it's urgent is.
You probably already know which one you've been doing.
— Athena</t>
  </si>
  <si>
    <t>Addresses a genuine guilt parents carry about getting help. The reframe is sharp and non-judgmental. Highlighted line lands hard without overselling.</t>
  </si>
  <si>
    <t>2026-07-14T18:03:19.440-07:00</t>
  </si>
  <si>
    <t>notes_003</t>
  </si>
  <si>
    <t>A parent confuses their kid being quiet about school with their kid being okay, and the SAT score is the first honest signal they get.</t>
  </si>
  <si>
    <t>## ATHENA NOTES APP SERIES
Vertical native iPhone screenshot (9:16). Looks indistinguishable from a real Apple Notes app screen capture. Clean off-white Notes-style background. Standard iOS status bar at top (9:41, cellular/Wi-Fi/battery icons). Yellow back arrow and "Notes" in yellow on the navigation bar. Yellow Share and More icons on the right.
### Text Body
Black sans-serif system font (San Francisco). Left-aligned with generous line spacing. No bold or italics in the body — keeps the native app feel. The note uses short lines broken for emotional pacing, not prose paragraphs. Em dash before "— Athena" at the bottom in the same font.
### The Highlight
One specific line or phrase per note is highlighted with a pale yellow background marker — exactly like using the iOS highlighter tool. This is the emotional center of the note. Never highlight more than one thought per post. The highlight should feel like the sentence the reader would screenshot and send to another parent.
### Copy Structure
Opener: "Dear parents," (sets the letter format immediately). Establish a relatable situation in 3-5 short lines. Pause on the honest tension. The highlighted line delivers the sting. Close with "— Athena." The note should feel like it was written at 11 PM, not workshopped in a meeting.
### Color Palette
Off-white body background. Black text. Yellow for: nav bar elements (back arrow, Notes, Share, More icons) and the highlight marker on the key line. That's it. No orange, no navy blue — this category lives in its own palette separate from the rest of the brand.
### Tone
Honest, direct, vulnerable. Not warm, not cheerful — it's the voice of someone telling you something hard that you need to hear. The notes work because they name a feeling parents are already having but haven't articulated. Never suggests Athena as the solution. Never sells. The last line is just the name.
### What to Avoid
No brand colors outside the iOS yellow. No Beagle logo. No logo at all. No CTA, no link, no "learn more." No bullet points, numbered lists, or emojis. No illustration. No bold or italic text in the body. It needs to pass for a real Notes screenshot — anything that breaks the native app illusion kills the post.
The note reads:
Dear parents,
They come home.
They say "fine."
They go to their room.
And you think: okay, fine means fine.
But sometimes fine means
I don't know how to tell you
that I'm not keeping up.
The SAT score lands.
And suddenly you're doing math
you didn't know you'd have to do.
[PALE YELLOW HIGHLIGHT ON:] Quiet isn't the same as okay. It never was.
The score just made it visible.
— Athena</t>
  </si>
  <si>
    <t>Fine means fine' is universally lived. SAT score as the first honest signal is a fresh framing of a real moment. Quiet vs. okay distinction earns its highlight.</t>
  </si>
  <si>
    <t>2026-07-14T18:03:19.444-07:00</t>
  </si>
  <si>
    <t>r</t>
  </si>
  <si>
    <t>beagle_explains_001</t>
  </si>
  <si>
    <t>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t>
  </si>
  <si>
    <t>Visually concrete panel-by-panel progression, whiteboard and notebook props ground it, insight feels earned not cliche, speaks directly to the 'pattern recognition' promise parents want</t>
  </si>
  <si>
    <t>2026-07-15T10:53:02.102-07:00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</si>
  <si>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secret.'\n\nReference the provided style image to maintain visual consistency in palette, illustration style, and layout.","input_urls":["https://tempfile.redpandaai.co/kieai/11402406/athena-refs/style_ref.jpg"],"aspect_ratio":"4:5"}}</t>
  </si>
  <si>
    <t>49405a1d546244d7a345233d6d3854b7</t>
  </si>
  <si>
    <t>https://tempfile.aiquickdraw.com/images/chatgpt/file_0000000003c471f5a5d444f69b7db6fd.png</t>
  </si>
  <si>
    <t>1axzQogpet0OO1ucMNmyY927qLN5VCkrA</t>
  </si>
  <si>
    <t>https://drive.google.com/uc?id=1axzQogpet0OO1ucMNmyY927qLN5VCkrA</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</si>
  <si>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SAT repeat the same 4 math traps... every single time?' Panel 1 — The Beagle sits upright at a desk, paw on chin, staring at a practice test with a slightly suspicious squint. Text: 'Something feels... familiar.' Panel 2 — Close-up of the Beagle's face, one eyebrow raised, nose nearly touching the page. A small circled problem is visible. Text: 'Wait. I've seen this before.' Panel 3 — Side profile of the Beagle flipping through three different practice tests fanned out on the desk. Text: 'Same trap. Different numbers.' Panel 4 — Medium shot, Beagle holding a pencil and pointing at a whiteboard with four rough circles drawn on it. Expression is matter-of-fact. Text: 'There are only 4 tricks they actually use.' Panel 5 — Over-the-shoulder shot of the Beagle writing in a spiral notebook. The words visible are: 'trap 1: the fake obvious answer.' Text above: 'Once you name them...' Panel 6 — Eye-level shot. The Beagle looks directly at the viewer with a calm, knowing smile. Text: '...you stop falling for them.' Panel 7 — Wide desk view from above. The Beagle has circled several problems on a test with a purple marker, ears relaxed, posture confident. Text: 'The SAT is predictable. That is the secret.'
Reference the provided style image to maintain visual consistency in palette, illustration style, and layout.</t>
  </si>
  <si>
    <t>beagle_explains_002</t>
  </si>
  <si>
    <t>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t>
  </si>
  <si>
    <t>Strong visual contrast between cozy reading and SAT dread, 'you are not reading, you are hunting' reframe is fresh and genuinely useful, relatable to high-achieving readers who still struggle</t>
  </si>
  <si>
    <t>2026-07-15T10:53:02.105-07:00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</si>
  <si>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everything.'\n\nReference the provided style image to maintain visual consistency in palette, illustration style, and layout.","input_urls":["https://tempfile.redpandaai.co/kieai/11402406/athena-refs/style_ref.jpg"],"aspect_ratio":"4:5"}}</t>
  </si>
  <si>
    <t>30fd79311163b929c0346505af1e38b1</t>
  </si>
  <si>
    <t>https://tempfile.aiquickdraw.com/images/chatgpt/file_000000002168722fb2d34681fd0ceb6e.png</t>
  </si>
  <si>
    <t>1WC_fkf5LoF-1-3s6sPB48LVswkwD1OEl</t>
  </si>
  <si>
    <t>https://drive.google.com/uc?id=1WC_fkf5LoF-1-3s6sPB48LVswkwD1OEl</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</si>
  <si>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reading feel impossible on the SAT even if you love to read?' Panel 1 — The Beagle is lying on its stomach on a cozy rug, happily reading a paperback novel. Expression is joyful, tail curled up. Text: 'Reading for fun? Easy.' Panel 2 — Same Beagle, same position, but now holding an SAT reading passage. Eyebrows furrowed, ears drooping slightly. Text: 'Reading for the SAT? Completely different.' Panel 3 — Close-up of the Beagle's paw dragging slowly under a dense paragraph of text. Expression is pained. Text: 'It is not about understanding everything.' Panel 4 — Medium shot. The Beagle sits up and holds a pencil like a pointer, gesturing toward a sticky note that reads 'What does the author CLAIM?' Text: 'It is about finding one specific thing.' Panel 5 — Side angle. The Beagle re-reads a short underlined sentence in the passage, expression shifting from confused to focused. Text: 'The answer is always already in the text.' Panel 6 — Close-up of the Beagle's face, eyes wide with a quiet realization, a tiny smile forming. Text: 'You are not reading. You are hunting.' Panel 7 — The Beagle sits back confidently, pencil behind one ear, test face-down on the desk. Expression is calm and settled. Text: 'Once you know what to look for, the passage tells you everything.'
Reference the provided style image to maintain visual consistency in palette, illustration style, and layout.</t>
  </si>
  <si>
    <t>beagle_explains_003</t>
  </si>
  <si>
    <t>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t>
  </si>
  <si>
    <t>Panic-blank experience is universally felt but rarely named this clearly, visual of frozen pencil mid-air is immediately renderable, emotional arc from freeze to recovery is satisfying</t>
  </si>
  <si>
    <t>2026-07-15T10:53:02.107-07:00</t>
  </si>
  <si>
    <t>https://drive.google.com/uc?id=1RoYL0-FdR0okT1CV-_ZE3797vGqHqETV"</t>
  </si>
  <si>
    <t>beagle_explains_004</t>
  </si>
  <si>
    <t>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t>
  </si>
  <si>
    <t>Counterintuitive premise earns attention, chaotic sticky-note wall versus clean single-item desk is a strong visual payoff, speaks directly to the over-studying parent narrative</t>
  </si>
  <si>
    <t>2026-07-15T10:53:02.110-07:00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</si>
  <si>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move.'\n\nReference the provided style image to maintain visual consistency in palette, illustration style, and layout.","input_urls":["https://tempfile.redpandaai.co/kieai/11402406/athena-refs/style_ref.jpg"],"aspect_ratio":"4:5"}}</t>
  </si>
  <si>
    <t>d6d6da7a9d4d152f28c3bf5d09987e27</t>
  </si>
  <si>
    <t>https://tempfile.aiquickdraw.com/images/chatgpt/file_0000000068ac71f58ee5372029af1a05.png</t>
  </si>
  <si>
    <t>1J2kf8Cb7CEpYXJoH3BS_7VnM5zVRPdq_</t>
  </si>
  <si>
    <t>https://drive.google.com/uc?id=1J2kf8Cb7CEpYXJoH3BS_7VnM5zVRPdq_</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</si>
  <si>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studying harder sometimes make your score go DOWN?' Panel 1 — The Beagle is slumped at a desk surrounded by stacked textbooks, highlighters everywhere, eyes half-closed with exhaustion. Text: 'More hours. More notes. More everything.' Panel 2 — Close-up of the Beagle's paw flipping a scored practice test to reveal a lower number than before. Expression is disbelief. Text: 'So why is the score worse?' Panel 3 — Side angle. The Beagle stares at a wall covered in sticky notes — too many, overlapping, chaotic. Text: 'More is not always more.' Panel 4 — Medium shot. The Beagle pulls one sticky note off the wall and holds it up. It reads: 'the one thing I keep getting wrong.' Text: 'The score drops when you review everything except that.' Panel 5 — Over-the-shoulder shot. The Beagle opens a fresh notebook to a blank page and writes just one question at the top: 'What broke last time?' Text: 'Targeted beats exhausted.' Panel 6 — Eye-level shot. The Beagle looks directly at the viewer, expression honest and a little tired but clear-eyed. Text: 'Your brain cannot absorb everything at once.' Panel 7 — The Beagle sits at a clean, uncluttered desk with just one practice section and a single pencil. Expression is calm, focused, ready. Text: 'Study less. Learn the right thing. Watch it move.'
Reference the provided style image to maintain visual consistency in palette, illustration style, and layout.</t>
  </si>
  <si>
    <t>BE_001</t>
  </si>
  <si>
    <t>Title panel: 'Why Does the SAT Have a Time Limit at All?'
Panel 1 — Beagle sitting upright at a desk, pencil in paw, staring at a ticking clock on the wall. Expression: mild dread. Text: 'The clock is the whole point.'
Panel 2 — Close-up of Beagle's face, one eyebrow raised, head slightly tilted. Text: 'But... why rush learning?'
Panel 3 — Side profile of Beagle reading a thick book labeled 'SAT.' A small thought bubble shows a stopwatch. Text: 'The SAT is not testing what you know.'
Panel 4 — Medium shot of Beagle looking directly at viewer, paw on chest. Text: 'It is testing how fast you can think clearly.'
Panel 5 — Over-the-shoulder shot of Beagle writing on a practice test. Sticky notes everywhere. Text: 'Speed is a skill. It can be trained.'
Panel 6 — Beagle slumped on desk, exhausted, timer showing 00:00. Text: 'At first, everyone runs out of time.'
Panel 7 — Beagle sitting up with a small proud smile, pencil tucked behind ear. Timer now shows time remaining. Text: 'Then one day... you finish early.'
Final panel — Beagle grinning wide, looking at viewer, paw giving a thumbs up. A hand-drawn light bulb doodle in purple. Text: 'Ohhh. The clock was never my enemy. It was just untrained.'</t>
  </si>
  <si>
    <t>Visually concrete arc from dread to mastery; clock-as-enemy reframe is relatable and fresh enough; strong emotional payoff for stuck students</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</si>
  <si>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the SAT Have a Time Limit at All?'\n\nPanel 1 — Beagle sitting upright at a desk, pencil in paw, staring at a ticking clock on the wall. Expression: mild dread. Text: 'The clock is the whole point.'\n\nPanel 2 — Close-up of Beagle's face, one eyebrow raised, head slightly tilted. Text: 'But... why rush learning?'\n\nPanel 3 — Side profile of Beagle reading a thick book labeled 'SAT.' A small thought bubble shows a stopwatch. Text: 'The SAT is not testing what you know.'\n\nPanel 4 — Medium shot of Beagle looking directly at viewer, paw on chest. Text: 'It is testing how fast you can think clearly.'\n\nPanel 5 — Over-the-shoulder shot of Beagle writing on a practice test. Sticky notes everywhere. Text: 'Speed is a skill. It can be trained.'\n\nPanel 6 — Beagle slumped on desk, exhausted, timer showing 00:00. Text: 'At first, everyone runs out of time.'\n\nPanel 7 — Beagle sitting up with a small proud smile, pencil tucked behind ear. Timer now shows time remaining. Text: 'Then one day... you finish early.'\n\nFinal panel — Beagle grinning wide, looking at viewer, paw giving a thumbs up. A hand-drawn light bulb doodle in purple. Text: 'Ohhh. The clock was never my enemy. It was just untrained.'\n\nReference the provided style image to maintain visual consistency in palette, illustration style, and layout.","input_urls":["https://tempfile.redpandaai.co/kieai/11402406/athena-refs/style_ref.jpg"],"aspect_ratio":"4:5"}}</t>
  </si>
  <si>
    <t>7fb76efb07b8eef9fed44b1d13ba409e</t>
  </si>
  <si>
    <t>https://tempfile.aiquickdraw.com/images/chatgpt/file_00000000cf5071f5b9ca1fa8b7fb2ce1.png</t>
  </si>
  <si>
    <t>1Y6NRtGDmtQIUpTCDgqU5pd78VkCFNVZ0</t>
  </si>
  <si>
    <t>https://drive.google.com/uc?id=1Y6NRtGDmtQIUpTCDgqU5pd78VkCFNVZ0</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</si>
  <si>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the SAT Have a Time Limit at All?'
Panel 1 — Beagle sitting upright at a desk, pencil in paw, staring at a ticking clock on the wall. Expression: mild dread. Text: 'The clock is the whole point.'
Panel 2 — Close-up of Beagle's face, one eyebrow raised, head slightly tilted. Text: 'But... why rush learning?'
Panel 3 — Side profile of Beagle reading a thick book labeled 'SAT.' A small thought bubble shows a stopwatch. Text: 'The SAT is not testing what you know.'
Panel 4 — Medium shot of Beagle looking directly at viewer, paw on chest. Text: 'It is testing how fast you can think clearly.'
Panel 5 — Over-the-shoulder shot of Beagle writing on a practice test. Sticky notes everywhere. Text: 'Speed is a skill. It can be trained.'
Panel 6 — Beagle slumped on desk, exhausted, timer showing 00:00. Text: 'At first, everyone runs out of time.'
Panel 7 — Beagle sitting up with a small proud smile, pencil tucked behind ear. Timer now shows time remaining. Text: 'Then one day... you finish early.'
Final panel — Beagle grinning wide, looking at viewer, paw giving a thumbs up. A hand-drawn light bulb doodle in purple. Text: 'Ohhh. The clock was never my enemy. It was just untrained.'
Reference the provided style image to maintain visual consistency in palette, illustration style, and layout.</t>
  </si>
  <si>
    <t>BE_002</t>
  </si>
  <si>
    <t>Title panel: 'Why Do SAT Reading Passages Feel Like a Foreign Language?'
Panel 1 — Beagle hunched over a passage, eyes crossed, completely lost. A dense block of text visible on the page. Text: 'Nothing makes sense. Nothing.'
Panel 2 — Close-up of Beagle's paw tracing a line of text, brow furrowed. Text: 'The words are English. But... what?'
Panel 3 — Medium shot, Beagle looking up at viewer with a serious expression. Text: 'Here is the secret they do not tell you.'
Panel 4 — Beagle at a whiteboard with a purple-underlined phrase: 'You are not supposed to understand everything.' Thoughtful expression. Text: 'You only need to find the answer.'
Panel 5 — Side profile of Beagle with highlighter, marking one specific sentence in the passage. Text: 'The answer is always in the passage.'
Panel 6 — Over-the-shoulder shot, Beagle circling a line with a pencil. A small purple arrow points to it. Text: 'Your job: locate, not memorize.'
Panel 7 — Beagle sitting back with a relaxed smile, pen resting on notebook. Text: 'Once you stop trying to understand everything...'
Final panel — Beagle leaning toward viewer, eyes bright, one paw pointing at the practice test. Purple doodle of a magnifying glass. Text: 'Ohhhh. Reading passages are just a scavenger hunt.'</t>
  </si>
  <si>
    <t>Scavenger hunt reframe is genuinely useful and visualizable; 'locate not memorize' is a real insight parents and students haven't heard phrased this way</t>
  </si>
  <si>
    <t>2026-07-15T13:11:24.326-07:00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</si>
  <si>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SAT Reading Passages Feel Like a Foreign Language?'\n\nPanel 1 — Beagle hunched over a passage, eyes crossed, completely lost. A dense block of text visible on the page. Text: 'Nothing makes sense. Nothing.'\n\nPanel 2 — Close-up of Beagle's paw tracing a line of text, brow furrowed. Text: 'The words are English. But... what?'\n\nPanel 3 — Medium shot, Beagle looking up at viewer with a serious expression. Text: 'Here is the secret they do not tell you.'\n\nPanel 4 — Beagle at a whiteboard with a purple-underlined phrase: 'You are not supposed to understand everything.' Thoughtful expression. Text: 'You only need to find the answer.'\n\nPanel 5 — Side profile of Beagle with highlighter, marking one specific sentence in the passage. Text: 'The answer is always in the passage.'\n\nPanel 6 — Over-the-shoulder shot, Beagle circling a line with a pencil. A small purple arrow points to it. Text: 'Your job: locate, not memorize.'\n\nPanel 7 — Beagle sitting back with a relaxed smile, pen resting on notebook. Text: 'Once you stop trying to understand everything...'\n\nFinal panel — Beagle leaning toward viewer, eyes bright, one paw pointing at the practice test. Purple doodle of a magnifying glass. Text: 'Ohhhh. Reading passages are just a scavenger hunt.'\n\nReference the provided style image to maintain visual consistency in palette, illustration style, and layout.","input_urls":["https://tempfile.redpandaai.co/kieai/11402406/athena-refs/style_ref.jpg"],"aspect_ratio":"4:5"}}</t>
  </si>
  <si>
    <t>3b21bb8d39e81972161933b8656c03a6</t>
  </si>
  <si>
    <t>https://tempfile.aiquickdraw.com/images/chatgpt/file_00000000b308720cb55b7f6f444b7a44.png</t>
  </si>
  <si>
    <t>1A5L4Yt5tpuT0AXDZXbMQwDaAyOuV3qaQ</t>
  </si>
  <si>
    <t>https://drive.google.com/uc?id=1A5L4Yt5tpuT0AXDZXbMQwDaAyOuV3qaQ</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</si>
  <si>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SAT Reading Passages Feel Like a Foreign Language?'
Panel 1 — Beagle hunched over a passage, eyes crossed, completely lost. A dense block of text visible on the page. Text: 'Nothing makes sense. Nothing.'
Panel 2 — Close-up of Beagle's paw tracing a line of text, brow furrowed. Text: 'The words are English. But... what?'
Panel 3 — Medium shot, Beagle looking up at viewer with a serious expression. Text: 'Here is the secret they do not tell you.'
Panel 4 — Beagle at a whiteboard with a purple-underlined phrase: 'You are not supposed to understand everything.' Thoughtful expression. Text: 'You only need to find the answer.'
Panel 5 — Side profile of Beagle with highlighter, marking one specific sentence in the passage. Text: 'The answer is always in the passage.'
Panel 6 — Over-the-shoulder shot, Beagle circling a line with a pencil. A small purple arrow points to it. Text: 'Your job: locate, not memorize.'
Panel 7 — Beagle sitting back with a relaxed smile, pen resting on notebook. Text: 'Once you stop trying to understand everything...'
Final panel — Beagle leaning toward viewer, eyes bright, one paw pointing at the practice test. Purple doodle of a magnifying glass. Text: 'Ohhhh. Reading passages are just a scavenger hunt.'
Reference the provided style image to maintain visual consistency in palette, illustration style, and layout.</t>
  </si>
  <si>
    <t>BE_003</t>
  </si>
  <si>
    <t>Title panel: 'Why Does Studying Hard Not Always Raise Your Score?'
Panel 1 — Beagle surrounded by towering stacks of books, highlighters, and crumpled notes. Overwhelmed expression. Text: 'I studied for weeks. My score barely moved.'
Panel 2 — Close-up of Beagle looking down at a practice test with a low score circled in red. Ears drooped. Text: 'That stings.'
Panel 3 — Medium shot, Beagle sitting at a desk, chin resting on both paws. Text: 'Studying hard is not the same as studying right.'
Panel 4 — Beagle standing at a whiteboard. Two columns: 'Hard Work' on the left, 'Smart Work' on the right. Purple checkmark under Smart Work. Text: 'The SAT rewards pattern recognition. Not memorization.'
Panel 5 — Side profile of Beagle reviewing one single wrong answer carefully, pencil in paw. Text: 'One wrong answer studied deeply beats ten problems rushed.'
Panel 6 — Over-the-shoulder shot of Beagle's notebook. Page reads: 'Why did I miss this?' Underlined in purple. Text: 'Ask why. Every single time.'
Panel 7 — Beagle looking at a new practice test, calm and focused. Small smile. Text: 'Then the score starts to move.'
Final panel — Beagle mid-celebration, paws up, eyes wide with joy. Purple star doodles around head. Text: 'Ohhhh. I was not failing the SAT. I was failing my study method.'</t>
  </si>
  <si>
    <t>Speaks directly to the frustrated parent/student who is working hard with no results; study method vs effort reframe is honest and actionable</t>
  </si>
  <si>
    <t>2026-07-15T13:11:24.330-07:00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</si>
  <si>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Studying Hard Not Always Raise Your Score?'\n\nPanel 1 — Beagle surrounded by towering stacks of books, highlighters, and crumpled notes. Overwhelmed expression. Text: 'I studied for weeks. My score barely moved.'\n\nPanel 2 — Close-up of Beagle looking down at a practice test with a low score circled in red. Ears drooped. Text: 'That stings.'\n\nPanel 3 — Medium shot, Beagle sitting at a desk, chin resting on both paws. Text: 'Studying hard is not the same as studying right.'\n\nPanel 4 — Beagle standing at a whiteboard. Two columns: 'Hard Work' on the left, 'Smart Work' on the right. Purple checkmark under Smart Work. Text: 'The SAT rewards pattern recognition. Not memorization.'\n\nPanel 5 — Side profile of Beagle reviewing one single wrong answer carefully, pencil in paw. Text: 'One wrong answer studied deeply beats ten problems rushed.'\n\nPanel 6 — Over-the-shoulder shot of Beagle's notebook. Page reads: 'Why did I miss this?' Underlined in purple. Text: 'Ask why. Every single time.'\n\nPanel 7 — Beagle looking at a new practice test, calm and focused. Small smile. Text: 'Then the score starts to move.'\n\nFinal panel — Beagle mid-celebration, paws up, eyes wide with joy. Purple star doodles around head. Text: 'Ohhhh. I was not failing the SAT. I was failing my study method.'\n\nReference the provided style image to maintain visual consistency in palette, illustration style, and layout.","input_urls":["https://tempfile.redpandaai.co/kieai/11402406/athena-refs/style_ref.jpg"],"aspect_ratio":"4:5"}}</t>
  </si>
  <si>
    <t>7516b70ba2190a7374dad8ce50328ba5</t>
  </si>
  <si>
    <t>https://tempfile.aiquickdraw.com/images/chatgpt/file_00000000cf80720c920928e2e2a07c10.png</t>
  </si>
  <si>
    <t>109gBhPKLZ7CUpSPuki-t71akx5xBVhjw</t>
  </si>
  <si>
    <t>https://drive.google.com/uc?id=109gBhPKLZ7CUpSPuki-t71akx5xBVhjw</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</si>
  <si>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Studying Hard Not Always Raise Your Score?'
Panel 1 — Beagle surrounded by towering stacks of books, highlighters, and crumpled notes. Overwhelmed expression. Text: 'I studied for weeks. My score barely moved.'
Panel 2 — Close-up of Beagle looking down at a practice test with a low score circled in red. Ears drooped. Text: 'That stings.'
Panel 3 — Medium shot, Beagle sitting at a desk, chin resting on both paws. Text: 'Studying hard is not the same as studying right.'
Panel 4 — Beagle standing at a whiteboard. Two columns: 'Hard Work' on the left, 'Smart Work' on the right. Purple checkmark under Smart Work. Text: 'The SAT rewards pattern recognition. Not memorization.'
Panel 5 — Side profile of Beagle reviewing one single wrong answer carefully, pencil in paw. Text: 'One wrong answer studied deeply beats ten problems rushed.'
Panel 6 — Over-the-shoulder shot of Beagle's notebook. Page reads: 'Why did I miss this?' Underlined in purple. Text: 'Ask why. Every single time.'
Panel 7 — Beagle looking at a new practice test, calm and focused. Small smile. Text: 'Then the score starts to move.'
Final panel — Beagle mid-celebration, paws up, eyes wide with joy. Purple star doodles around head. Text: 'Ohhhh. I was not failing the SAT. I was failing my study method.'
Reference the provided style image to maintain visual consistency in palette, illustration style, and layout.</t>
  </si>
  <si>
    <t>BE_004</t>
  </si>
  <si>
    <t>Title panel: 'Why Is SAT Math So Different From School Math?'
Panel 1 — Beagle staring at an SAT math problem, calculator in paw, completely frozen. Text: 'I get an A in math. But this feels impossible.'
Panel 2 — Close-up of Beagle's confused face next to an SAT problem that uses familiar numbers in a strange setup. Text: 'Same math. Different packaging.'
Panel 3 — Medium shot, Beagle looking at viewer with curiosity. Text: 'School math tests if you learned the lesson.'
Panel 4 — Beagle at whiteboard, drawing two boxes: 'School Math = Follow the steps' vs 'SAT Math = Find the trick.' Purple underline under 'Find the trick.' Text: 'SAT math tests if you can think flexibly.'
Panel 5 — Side profile of Beagle working through a problem two different ways on paper. Text: 'There is almost always a shortcut. Find it.'
Panel 6 — Overhead desk view: Beagle erasing a long solution and rewriting a short one below it. Text: 'Less work usually means you found the right path.'
Panel 7 — Beagle leaning back, tapping pencil to chin, small grin forming. Text: 'The SAT is not testing your calculator. It is testing your instincts.'
Final panel — Beagle looking directly at viewer, relaxed confidence. Purple lightbulb doodle. Text: 'Ohhhh. SAT math is a puzzle, not a test.'</t>
  </si>
  <si>
    <t>Puzzle vs test reframe is fresh; visual contrast of long solution vs short solution is concrete and renderable; resonates with A-student-who-freezes persona</t>
  </si>
  <si>
    <t>2026-07-15T13:11:24.333-07:00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</si>
  <si>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SAT Math So Different From School Math?'\n\nPanel 1 — Beagle staring at an SAT math problem, calculator in paw, completely frozen. Text: 'I get an A in math. But this feels impossible.'\n\nPanel 2 — Close-up of Beagle's confused face next to an SAT problem that uses familiar numbers in a strange setup. Text: 'Same math. Different packaging.'\n\nPanel 3 — Medium shot, Beagle looking at viewer with curiosity. Text: 'School math tests if you learned the lesson.'\n\nPanel 4 — Beagle at whiteboard, drawing two boxes: 'School Math = Follow the steps' vs 'SAT Math = Find the trick.' Purple underline under 'Find the trick.' Text: 'SAT math tests if you can think flexibly.'\n\nPanel 5 — Side profile of Beagle working through a problem two different ways on paper. Text: 'There is almost always a shortcut. Find it.'\n\nPanel 6 — Overhead desk view: Beagle erasing a long solution and rewriting a short one below it. Text: 'Less work usually means you found the right path.'\n\nPanel 7 — Beagle leaning back, tapping pencil to chin, small grin forming. Text: 'The SAT is not testing your calculator. It is testing your instincts.'\n\nFinal panel — Beagle looking directly at viewer, relaxed confidence. Purple lightbulb doodle. Text: 'Ohhhh. SAT math is a puzzle, not a test.'\n\nReference the provided style image to maintain visual consistency in palette, illustration style, and layout.","input_urls":["https://tempfile.redpandaai.co/kieai/11402406/athena-refs/style_ref.jpg"],"aspect_ratio":"4:5"}}</t>
  </si>
  <si>
    <t>9d9a21de67220fa28af5031479cdc097</t>
  </si>
  <si>
    <t>https://tempfile.aiquickdraw.com/images/chatgpt/file_00000000ee4071f59e9c69d9248a8f1a.png</t>
  </si>
  <si>
    <t>1qpnNFRdxDT-5fzEqloOO-FK9a0GhxtA1</t>
  </si>
  <si>
    <t>https://drive.google.com/uc?id=1qpnNFRdxDT-5fzEqloOO-FK9a0GhxtA1</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</si>
  <si>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SAT Math So Different From School Math?'
Panel 1 — Beagle staring at an SAT math problem, calculator in paw, completely frozen. Text: 'I get an A in math. But this feels impossible.'
Panel 2 — Close-up of Beagle's confused face next to an SAT problem that uses familiar numbers in a strange setup. Text: 'Same math. Different packaging.'
Panel 3 — Medium shot, Beagle looking at viewer with curiosity. Text: 'School math tests if you learned the lesson.'
Panel 4 — Beagle at whiteboard, drawing two boxes: 'School Math = Follow the steps' vs 'SAT Math = Find the trick.' Purple underline under 'Find the trick.' Text: 'SAT math tests if you can think flexibly.'
Panel 5 — Side profile of Beagle working through a problem two different ways on paper. Text: 'There is almost always a shortcut. Find it.'
Panel 6 — Overhead desk view: Beagle erasing a long solution and rewriting a short one below it. Text: 'Less work usually means you found the right path.'
Panel 7 — Beagle leaning back, tapping pencil to chin, small grin forming. Text: 'The SAT is not testing your calculator. It is testing your instincts.'
Final panel — Beagle looking directly at viewer, relaxed confidence. Purple lightbulb doodle. Text: 'Ohhhh. SAT math is a puzzle, not a test.'
Reference the provided style image to maintain visual consistency in palette, illustration style, and layout.</t>
  </si>
  <si>
    <t>BE_005</t>
  </si>
  <si>
    <t>Title panel: 'Why Do Some Kids Go Up 200 Points and Others Do Not?'
Panel 1 — Beagle sitting beside a friend (a stuffed animal rabbit used as a prop) at the same desk, same books. Text: 'Same starting score. Same study time.'
Panel 2 — Close-up of Beagle looking puzzled, holding two score reports side by side. Text: 'But completely different results. Why?'
Panel 3 — Medium shot, Beagle writing in a notebook labeled 'My Mistakes.' Expression: focused and calm. Text: 'One of them studied what they got wrong.'
Panel 4 — Side profile of Beagle flipping back through old practice tests, circling patterns. Text: 'The other just did more problems.'
Panel 5 — Beagle pointing at the notebook, looking at viewer. Purple arrow points to the words 'same mistake, twice.' Text: 'Repetition without reflection is just running in circles.'
Panel 6 — Over-the-shoulder view of Beagle's notes with a simple grid tracking error types by category. Text: 'Know your patterns. Own your gaps.'
Panel 7 — Beagle sitting with a small satisfied smile, pen in paw, score report showing improvement. Text: 'The 200-point kids did not study more. They studied smarter.'
Final panel — Beagle smiling wide at viewer, paw to heart. Purple heart doodle. Text: 'Ohhhh. The secret is not effort. It is awareness.'</t>
  </si>
  <si>
    <t>Awareness vs effort is a strong insight; stuffed rabbit prop is charming and avoids needing a second character; error tracking grid is visually concrete</t>
  </si>
  <si>
    <t>2026-07-15T13:11:24.336-07:00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</si>
  <si>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Some Kids Go Up 200 Points and Others Do Not?'\n\nPanel 1 — Beagle sitting beside a friend (a stuffed animal rabbit used as a prop) at the same desk, same books. Text: 'Same starting score. Same study time.'\n\nPanel 2 — Close-up of Beagle looking puzzled, holding two score reports side by side. Text: 'But completely different results. Why?'\n\nPanel 3 — Medium shot, Beagle writing in a notebook labeled 'My Mistakes.' Expression: focused and calm. Text: 'One of them studied what they got wrong.'\n\nPanel 4 — Side profile of Beagle flipping back through old practice tests, circling patterns. Text: 'The other just did more problems.'\n\nPanel 5 — Beagle pointing at the notebook, looking at viewer. Purple arrow points to the words 'same mistake, twice.' Text: 'Repetition without reflection is just running in circles.'\n\nPanel 6 — Over-the-shoulder view of Beagle's notes with a simple grid tracking error types by category. Text: 'Know your patterns. Own your gaps.'\n\nPanel 7 — Beagle sitting with a small satisfied smile, pen in paw, score report showing improvement. Text: 'The 200-point kids did not study more. They studied smarter.'\n\nFinal panel — Beagle smiling wide at viewer, paw to heart. Purple heart doodle. Text: 'Ohhhh. The secret is not effort. It is awareness.'\n\nReference the provided style image to maintain visual consistency in palette, illustration style, and layout.","input_urls":["https://tempfile.redpandaai.co/kieai/11402406/athena-refs/style_ref.jpg"],"aspect_ratio":"4:5"}}</t>
  </si>
  <si>
    <t>2b1c0dd8e065001088171d348b331a6d</t>
  </si>
  <si>
    <t>https://tempfile.aiquickdraw.com/images/chatgpt/file_00000000f4d471fd9f0c87a5a530ca8e.png</t>
  </si>
  <si>
    <t>11orFzPxTHpyaaZZczJJRK1hAtQt7cb8x</t>
  </si>
  <si>
    <t>https://drive.google.com/uc?id=11orFzPxTHpyaaZZczJJRK1hAtQt7cb8x</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</si>
  <si>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Some Kids Go Up 200 Points and Others Do Not?'
Panel 1 — Beagle sitting beside a friend (a stuffed animal rabbit used as a prop) at the same desk, same books. Text: 'Same starting score. Same study time.'
Panel 2 — Close-up of Beagle looking puzzled, holding two score reports side by side. Text: 'But completely different results. Why?'
Panel 3 — Medium shot, Beagle writing in a notebook labeled 'My Mistakes.' Expression: focused and calm. Text: 'One of them studied what they got wrong.'
Panel 4 — Side profile of Beagle flipping back through old practice tests, circling patterns. Text: 'The other just did more problems.'
Panel 5 — Beagle pointing at the notebook, looking at viewer. Purple arrow points to the words 'same mistake, twice.' Text: 'Repetition without reflection is just running in circles.'
Panel 6 — Over-the-shoulder view of Beagle's notes with a simple grid tracking error types by category. Text: 'Know your patterns. Own your gaps.'
Panel 7 — Beagle sitting with a small satisfied smile, pen in paw, score report showing improvement. Text: 'The 200-point kids did not study more. They studied smarter.'
Final panel — Beagle smiling wide at viewer, paw to heart. Purple heart doodle. Text: 'Ohhhh. The secret is not effort. It is awareness.'
Reference the provided style image to maintain visual consistency in palette, illustration style, and layout.</t>
  </si>
  <si>
    <t>BE_006</t>
  </si>
  <si>
    <t>Title panel: 'Why Does Test Anxiety Make Smart Kids Blank Out?'
Panel 1 — Beagle at a test desk, pencil in paw, staring at a question. Eyes wide. Mind visually empty — illustrated as a blank white thought bubble. Text: 'I knew this yesterday. I know I knew this.'
Panel 2 — Close-up of Beagle's face, mouth slightly open in panic. Tiny beads of sweat. Text: 'But right now... nothing.'
Panel 3 — Medium shot, Beagle looking at viewer. Text: 'Your brain has a built-in alarm system.'
Panel 4 — Beagle at whiteboard with a simple brain sketch. One half labeled 'Thinking.' Other half labeled 'Alarm.' Purple arrow pointing from Alarm to Thinking with an X through it. Text: 'When the alarm fires, the thinking part shuts down.'
Panel 5 — Side profile of Beagle closing eyes, paw flat on desk, taking a slow breath. Calm expression returning. Text: 'Three slow breaths. That is not a cliche. That is biology.'
Panel 6 — Beagle opening eyes slowly, refocused, pencil back in paw. Small thought bubble now has the answer inside it. Text: 'The knowledge did not go anywhere. The alarm just had to stop.'
Panel 7 — Beagle looking down at the test, working steadily. Text: 'The answer was always there. You just needed quiet.'
Final panel — Beagle looking at viewer with a warm, knowing expression. Purple thought bubble doodle. Text: 'Ohhhh. I am not bad under pressure. I just never learned to reset.'</t>
  </si>
  <si>
    <t>Brain alarm diagram is simple and renderable; biology framing elevates 'take a breath' beyond cliche; blank thought bubble then filled thought bubble is a clean visual payoff</t>
  </si>
  <si>
    <t>2026-07-15T13:11:24.340-07:00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</si>
  <si>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Test Anxiety Make Smart Kids Blank Out?'\n\nPanel 1 — Beagle at a test desk, pencil in paw, staring at a question. Eyes wide. Mind visually empty — illustrated as a blank white thought bubble. Text: 'I knew this yesterday. I know I knew this.'\n\nPanel 2 — Close-up of Beagle's face, mouth slightly open in panic. Tiny beads of sweat. Text: 'But right now... nothing.'\n\nPanel 3 — Medium shot, Beagle looking at viewer. Text: 'Your brain has a built-in alarm system.'\n\nPanel 4 — Beagle at whiteboard with a simple brain sketch. One half labeled 'Thinking.' Other half labeled 'Alarm.' Purple arrow pointing from Alarm to Thinking with an X through it. Text: 'When the alarm fires, the thinking part shuts down.'\n\nPanel 5 — Side profile of Beagle closing eyes, paw flat on desk, taking a slow breath. Calm expression returning. Text: 'Three slow breaths. That is not a cliche. That is biology.'\n\nPanel 6 — Beagle opening eyes slowly, refocused, pencil back in paw. Small thought bubble now has the answer inside it. Text: 'The knowledge did not go anywhere. The alarm just had to stop.'\n\nPanel 7 — Beagle looking down at the test, working steadily. Text: 'The answer was always there. You just needed quiet.'\n\nFinal panel — Beagle looking at viewer with a warm, knowing expression. Purple thought bubble doodle. Text: 'Ohhhh. I am not bad under pressure. I just never learned to reset.'\n\nReference the provided style image to maintain visual consistency in palette, illustration style, and layout.","input_urls":["https://tempfile.redpandaai.co/kieai/11402406/athena-refs/style_ref.jpg"],"aspect_ratio":"4:5"}}</t>
  </si>
  <si>
    <t>f785a62a7ffc08b0c3e4c36512394848</t>
  </si>
  <si>
    <t>https://tempfile.aiquickdraw.com/images/chatgpt/file_00000000b8e871fd97834e4739db4425.png</t>
  </si>
  <si>
    <t>1a-iX9Gd78mBH4NRLoUtncFTcj0Ts8eIB</t>
  </si>
  <si>
    <t>https://drive.google.com/uc?id=1a-iX9Gd78mBH4NRLoUtncFTcj0Ts8eIB</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</si>
  <si>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Test Anxiety Make Smart Kids Blank Out?'
Panel 1 — Beagle at a test desk, pencil in paw, staring at a question. Eyes wide. Mind visually empty — illustrated as a blank white thought bubble. Text: 'I knew this yesterday. I know I knew this.'
Panel 2 — Close-up of Beagle's face, mouth slightly open in panic. Tiny beads of sweat. Text: 'But right now... nothing.'
Panel 3 — Medium shot, Beagle looking at viewer. Text: 'Your brain has a built-in alarm system.'
Panel 4 — Beagle at whiteboard with a simple brain sketch. One half labeled 'Thinking.' Other half labeled 'Alarm.' Purple arrow pointing from Alarm to Thinking with an X through it. Text: 'When the alarm fires, the thinking part shuts down.'
Panel 5 — Side profile of Beagle closing eyes, paw flat on desk, taking a slow breath. Calm expression returning. Text: 'Three slow breaths. That is not a cliche. That is biology.'
Panel 6 — Beagle opening eyes slowly, refocused, pencil back in paw. Small thought bubble now has the answer inside it. Text: 'The knowledge did not go anywhere. The alarm just had to stop.'
Panel 7 — Beagle looking down at the test, working steadily. Text: 'The answer was always there. You just needed quiet.'
Final panel — Beagle looking at viewer with a warm, knowing expression. Purple thought bubble doodle. Text: 'Ohhhh. I am not bad under pressure. I just never learned to reset.'
Reference the provided style image to maintain visual consistency in palette, illustration style, and layout.</t>
  </si>
  <si>
    <t>BE_008</t>
  </si>
  <si>
    <t>Title panel: 'Why Is the First SAT Score Almost Never the Real Score?'
Panel 1 — Beagle opening an envelope with their first score report. Eyes scan the number. Ears droop slightly. Text: 'That is... lower than I hoped.'
Panel 2 — Close-up of Beagle looking at score report, then looking up at viewer. Text: 'Does this score define me?'
Panel 3 — Medium shot, Beagle sitting calmly at desk with a notebook labeled 'What I Learned.' Text: 'Every first score is really just a diagnostic.'
Panel 4 — Beagle at whiteboard drawing a simple upward arrow with dips along the way. Purple highlights on the dips. Text: 'Scores almost never go straight up. They zigzag up.'
Panel 5 — Side profile of Beagle with a practice test, carefully marking wrong answers. Text: 'The first test shows you where to look.'
Panel 6 — Over-the-shoulder shot: Beagle writes in notebook 'I missed every inference question.' Underlined in purple. Text: 'That is not failure. That is a map.'
Panel 7 — Beagle sitting with a new score report, eyes wide with pleasant surprise. Text: 'The first score is not the final score. It is the starting line.'
Final panel — Beagle holding both score reports side by side, grinning. Purple star doodles. Text: 'Ohhhh. My first score did not measure my ability. It measured my starting point.'</t>
  </si>
  <si>
    <t>Score-as-map reframe is emotionally resonant for anxious parents; zigzag arrow visual is concrete; opening envelope moment is universally relatable</t>
  </si>
  <si>
    <t>2026-07-15T13:11:24.343-07:00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</si>
  <si>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Is the First SAT Score Almost Never the Real Score?'\n\nPanel 1 — Beagle opening an envelope with their first score report. Eyes scan the number. Ears droop slightly. Text: 'That is... lower than I hoped.'\n\nPanel 2 — Close-up of Beagle looking at score report, then looking up at viewer. Text: 'Does this score define me?'\n\nPanel 3 — Medium shot, Beagle sitting calmly at desk with a notebook labeled 'What I Learned.' Text: 'Every first score is really just a diagnostic.'\n\nPanel 4 — Beagle at whiteboard drawing a simple upward arrow with dips along the way. Purple highlights on the dips. Text: 'Scores almost never go straight up. They zigzag up.'\n\nPanel 5 — Side profile of Beagle with a practice test, carefully marking wrong answers. Text: 'The first test shows you where to look.'\n\nPanel 6 — Over-the-shoulder shot: Beagle writes in notebook 'I missed every inference question.' Underlined in purple. Text: 'That is not failure. That is a map.'\n\nPanel 7 — Beagle sitting with a new score report, eyes wide with pleasant surprise. Text: 'The first score is not the final score. It is the starting line.'\n\nFinal panel — Beagle holding both score reports side by side, grinning. Purple star doodles. Text: 'Ohhhh. My first score did not measure my ability. It measured my starting point.'\n\nReference the provided style image to maintain visual consistency in palette, illustration style, and layout.","input_urls":["https://tempfile.redpandaai.co/kieai/11402406/athena-refs/style_ref.jpg"],"aspect_ratio":"4:5"}}</t>
  </si>
  <si>
    <t>5556cf8dcb8dcf33250cdc30697569ea</t>
  </si>
  <si>
    <t>https://tempfile.aiquickdraw.com/images/chatgpt/file_000000009efc720c8c099ceed7a9b99f.png</t>
  </si>
  <si>
    <t>17fXMbj_BmjDf6pIYhRaHoZJt5mA2nmC1</t>
  </si>
  <si>
    <t>https://drive.google.com/uc?id=17fXMbj_BmjDf6pIYhRaHoZJt5mA2nmC1</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</si>
  <si>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Is the First SAT Score Almost Never the Real Score?'
Panel 1 — Beagle opening an envelope with their first score report. Eyes scan the number. Ears droop slightly. Text: 'That is... lower than I hoped.'
Panel 2 — Close-up of Beagle looking at score report, then looking up at viewer. Text: 'Does this score define me?'
Panel 3 — Medium shot, Beagle sitting calmly at desk with a notebook labeled 'What I Learned.' Text: 'Every first score is really just a diagnostic.'
Panel 4 — Beagle at whiteboard drawing a simple upward arrow with dips along the way. Purple highlights on the dips. Text: 'Scores almost never go straight up. They zigzag up.'
Panel 5 — Side profile of Beagle with a practice test, carefully marking wrong answers. Text: 'The first test shows you where to look.'
Panel 6 — Over-the-shoulder shot: Beagle writes in notebook 'I missed every inference question.' Underlined in purple. Text: 'That is not failure. That is a map.'
Panel 7 — Beagle sitting with a new score report, eyes wide with pleasant surprise. Text: 'The first score is not the final score. It is the starting line.'
Final panel — Beagle holding both score reports side by side, grinning. Purple star doodles. Text: 'Ohhhh. My first score did not measure my ability. It measured my starting point.'
Reference the provided style image to maintain visual consistency in palette, illustration style, and layout.</t>
  </si>
  <si>
    <t>BE_009</t>
  </si>
  <si>
    <t>Title panel: 'Why Does Your Brain Forget Everything the Night Before the Test?'
Panel 1 — Beagle at a desk at 11pm, surrounded by flashcards, textbooks, and empty snack wrappers. Panicked expression. Text: 'I have to cram everything tonight.'
Panel 2 — Close-up of Beagle staring at a flashcard, then flipping it over to find... nothing registers. Blank expression. Text: 'Why is nothing sticking?'
Panel 3 — Medium shot, Beagle looking directly at viewer. Text: 'Because your brain does not store memories while you study.'
Panel 4 — Beagle at whiteboard with a sketch of a sleeping Beagle and a glowing brain above it. Purple arrow labeled 'This is when memory forms.' Text: 'It stores them while you sleep.'
Panel 5 — Side profile of Beagle closing textbook firmly, lamp switching off. Resolute expression. Text: 'Cramming at midnight is borrowing from tomorrow.'
Panel 6 — Beagle lying in bed, eyes peacefully closed, small smile. Books closed on the desk nearby. Text: 'The most powerful SAT prep the night before is eight hours of sleep.'
Panel 7 — Beagle waking up at the desk the next morning, alert and calm. Text: 'Rested brain. Faster recall. Clearer thinking.'
Final panel — Beagle looking at viewer from a test desk, confident and sharp. Purple moon and star doodles. Text: 'Ohhhh. Sleep is not lazy. Sleep is the last study session.'</t>
  </si>
  <si>
    <t>Sleep-as-study-session is counterintuitive enough to stop a scroll; memory consolidation framing elevates it beyond common advice; 11pm cram scene is instantly recognizable</t>
  </si>
  <si>
    <t>2026-07-15T13:11:24.346-07:00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</si>
  <si>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Does Your Brain Forget Everything the Night Before the Test?'\n\nPanel 1 — Beagle at a desk at 11pm, surrounded by flashcards, textbooks, and empty snack wrappers. Panicked expression. Text: 'I have to cram everything tonight.'\n\nPanel 2 — Close-up of Beagle staring at a flashcard, then flipping it over to find... nothing registers. Blank expression. Text: 'Why is nothing sticking?'\n\nPanel 3 — Medium shot, Beagle looking directly at viewer. Text: 'Because your brain does not store memories while you study.'\n\nPanel 4 — Beagle at whiteboard with a sketch of a sleeping Beagle and a glowing brain above it. Purple arrow labeled 'This is when memory forms.' Text: 'It stores them while you sleep.'\n\nPanel 5 — Side profile of Beagle closing textbook firmly, lamp switching off. Resolute expression. Text: 'Cramming at midnight is borrowing from tomorrow.'\n\nPanel 6 — Beagle lying in bed, eyes peacefully closed, small smile. Books closed on the desk nearby. Text: 'The most powerful SAT prep the night before is eight hours of sleep.'\n\nPanel 7 — Beagle waking up at the desk the next morning, alert and calm. Text: 'Rested brain. Faster recall. Clearer thinking.'\n\nFinal panel — Beagle looking at viewer from a test desk, confident and sharp. Purple moon and star doodles. Text: 'Ohhhh. Sleep is not lazy. Sleep is the last study session.'\n\nReference the provided style image to maintain visual consistency in palette, illustration style, and layout.","input_urls":["https://tempfile.redpandaai.co/kieai/11402406/athena-refs/style_ref.jpg"],"aspect_ratio":"4:5"}}</t>
  </si>
  <si>
    <t>82e7523411f3b3e6a54a99b7a0a86cea</t>
  </si>
  <si>
    <t>https://tempfile.aiquickdraw.com/images/chatgpt/file_0000000026c871fd9112c0a0f8f6bd03.png</t>
  </si>
  <si>
    <t>1LPgH6UL8bQf9gNrRe7uOfOdMCj2WTCX0</t>
  </si>
  <si>
    <t>https://drive.google.com/uc?id=1LPgH6UL8bQf9gNrRe7uOfOdMCj2WTCX0</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</si>
  <si>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Does Your Brain Forget Everything the Night Before the Test?'
Panel 1 — Beagle at a desk at 11pm, surrounded by flashcards, textbooks, and empty snack wrappers. Panicked expression. Text: 'I have to cram everything tonight.'
Panel 2 — Close-up of Beagle staring at a flashcard, then flipping it over to find... nothing registers. Blank expression. Text: 'Why is nothing sticking?'
Panel 3 — Medium shot, Beagle looking directly at viewer. Text: 'Because your brain does not store memories while you study.'
Panel 4 — Beagle at whiteboard with a sketch of a sleeping Beagle and a glowing brain above it. Purple arrow labeled 'This is when memory forms.' Text: 'It stores them while you sleep.'
Panel 5 — Side profile of Beagle closing textbook firmly, lamp switching off. Resolute expression. Text: 'Cramming at midnight is borrowing from tomorrow.'
Panel 6 — Beagle lying in bed, eyes peacefully closed, small smile. Books closed on the desk nearby. Text: 'The most powerful SAT prep the night before is eight hours of sleep.'
Panel 7 — Beagle waking up at the desk the next morning, alert and calm. Text: 'Rested brain. Faster recall. Clearer thinking.'
Final panel — Beagle looking at viewer from a test desk, confident and sharp. Purple moon and star doodles. Text: 'Ohhhh. Sleep is not lazy. Sleep is the last study session.'
Reference the provided style image to maintain visual consistency in palette, illustration style, and layout.</t>
  </si>
  <si>
    <t>BE_010</t>
  </si>
  <si>
    <t>Title panel: 'Why Do SAT Answer Choices Feel Like They Are All Correct?'
Panel 1 — Beagle staring at four answer choices, pencil hovering. All four look reasonable. Expression: deep confusion. Text: 'They all look right. I cannot decide.'
Panel 2 — Close-up of Beagle's eyes scanning between choices A and C. Tiny drops of sweat. Text: 'The SAT is doing this on purpose.'
Panel 3 — Medium shot, Beagle looking at viewer with a knowing squint. Text: 'Wrong answers are designed to feel right.'
Panel 4 — Beagle at whiteboard. Four answer types listed: 'Too extreme,' 'Almost true,' 'True but irrelevant,' 'The right one.' Purple box around 'The right one.' Text: 'They call them distractors for a reason.'
Panel 5 — Side profile of Beagle returning to the passage and underlining a specific sentence. Text: 'The question is not: which answer sounds good?'
Panel 6 — Over-the-shoulder shot: Beagle's paw points to passage, then to the matching answer. A purple check mark appears. Text: 'The question is: which answer can I prove using the text?'
Panel 7 — Beagle circling the correct answer calmly, leaning back with ease. Text: 'Once you stop trusting your gut and start trusting evidence...'
Final panel — Beagle grinning at viewer, pencil tucked behind ear. Purple magnifying glass doodle. Text: 'Ohhhh. The SAT is not trying to trick me. It is testing whether I look for proof.'</t>
  </si>
  <si>
    <t>Distractor taxonomy on the whiteboard is visually concrete and genuinely teachable; proof-not-gut reframe is fresh and directly actionable; strong payoff panel</t>
  </si>
  <si>
    <t>2026-07-15T13:11:24.349-07:00</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</si>
  <si>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SAT Answer Choices Feel Like They Are All Correct?'\n\nPanel 1 — Beagle staring at four answer choices, pencil hovering. All four look reasonable. Expression: deep confusion. Text: 'They all look right. I cannot decide.'\n\nPanel 2 — Close-up of Beagle's eyes scanning between choices A and C. Tiny drops of sweat. Text: 'The SAT is doing this on purpose.'\n\nPanel 3 — Medium shot, Beagle looking at viewer with a knowing squint. Text: 'Wrong answers are designed to feel right.'\n\nPanel 4 — Beagle at whiteboard. Four answer types listed: 'Too extreme,' 'Almost true,' 'True but irrelevant,' 'The right one.' Purple box around 'The right one.' Text: 'They call them distractors for a reason.'\n\nPanel 5 — Side profile of Beagle returning to the passage and underlining a specific sentence. Text: 'The question is not: which answer sounds good?'\n\nPanel 6 — Over-the-shoulder shot: Beagle's paw points to passage, then to the matching answer. A purple check mark appears. Text: 'The question is: which answer can I prove using the text?'\n\nPanel 7 — Beagle circling the correct answer calmly, leaning back with ease. Text: 'Once you stop trusting your gut and start trusting evidence...'\n\nFinal panel — Beagle grinning at viewer, pencil tucked behind ear. Purple magnifying glass doodle. Text: 'Ohhhh. The SAT is not trying to trick me. It is testing whether I look for proof.'\n\nReference the provided style image to maintain visual consistency in palette, illustration style, and layout.","input_urls":["https://tempfile.redpandaai.co/kieai/11402406/athena-refs/style_ref.jpg"],"aspect_ratio":"4:5"}}</t>
  </si>
  <si>
    <t>53aafefc77e93cf53a1fc84da67b1c33</t>
  </si>
  <si>
    <t>https://tempfile.aiquickdraw.com/images/chatgpt/file_00000000890871f69ee0e669b8e16b22.png</t>
  </si>
  <si>
    <t>1M9asYKpO46bvcdqPMJjAgSp8LVbeRykh</t>
  </si>
  <si>
    <t>https://drive.google.com/uc?id=1M9asYKpO46bvcdqPMJjAgSp8LVbeRykh</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</si>
  <si>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SAT Answer Choices Feel Like They Are All Correct?'
Panel 1 — Beagle staring at four answer choices, pencil hovering. All four look reasonable. Expression: deep confusion. Text: 'They all look right. I cannot decide.'
Panel 2 — Close-up of Beagle's eyes scanning between choices A and C. Tiny drops of sweat. Text: 'The SAT is doing this on purpose.'
Panel 3 — Medium shot, Beagle looking at viewer with a knowing squint. Text: 'Wrong answers are designed to feel right.'
Panel 4 — Beagle at whiteboard. Four answer types listed: 'Too extreme,' 'Almost true,' 'True but irrelevant,' 'The right one.' Purple box around 'The right one.' Text: 'They call them distractors for a reason.'
Panel 5 — Side profile of Beagle returning to the passage and underlining a specific sentence. Text: 'The question is not: which answer sounds good?'
Panel 6 — Over-the-shoulder shot: Beagle's paw points to passage, then to the matching answer. A purple check mark appears. Text: 'The question is: which answer can I prove using the text?'
Panel 7 — Beagle circling the correct answer calmly, leaning back with ease. Text: 'Once you stop trusting your gut and start trusting evidence...'
Final panel — Beagle grinning at viewer, pencil tucked behind ear. Purple magnifying glass doodle. Text: 'Ohhhh. The SAT is not trying to trick me. It is testing whether I look for proof.'
Reference the provided style image to maintain visual consistency in palette, illustration style, and layout.</t>
  </si>
  <si>
    <t>sat_myth_001</t>
  </si>
  <si>
    <t>Myth statement: 'MORE PRACTICE TESTS = HIGHER SCORES'
Visual scene: The girl sits at a kitchen table completely buried under an avalanche of printed practice tests — pages cascading off the table, stacked in wobbly towers taller than her head, spilling onto the floor. She's holding a freshly scored test with a red number on it that hasn't moved. Her expression is hollow exhaustion. On the wall behind her, a hand-drawn tally chart shows 'Test #14' — and the score written next to every single entry is identical. The message is clear: volume without understanding is a hamster wheel.
Insight line (bottom of poster): 'Repeating mistakes faster is not the same as learning.'</t>
  </si>
  <si>
    <t>Visually concrete and emotionally resonant — the tally chart with identical scores is a sharp detail. Speaks directly to the exhausted parent or student spinning wheels. Fresh angle on a common behavior.</t>
  </si>
  <si>
    <t>2026-07-15T14:20:49.650-07:00</t>
  </si>
  <si>
    <t>sat_myth_002</t>
  </si>
  <si>
    <t>Myth statement: 'MATH IS THE HARDEST PART TO IMPROVE'
Visual scene: The girl stands at the base of two staircases side by side. The one labeled 'READING' is long, winding, and disappears into fog — suggesting the vague, uncertain climb of improving reading comprehension. The one labeled 'MATH' is a clean, straight staircase with each step clearly numbered and visible all the way to the top — almost invitingly structured. She's mid-pivot, having just turned away from the foggy staircase to face the math one with a look of mild surprise, like she just realized something she should have known earlier.
Insight line (bottom of poster): 'Math follows rules. Rules can be taught. That makes it the most coachable section on the test.'</t>
  </si>
  <si>
    <t>Clean visual contrast between the two staircases works well as a single image. The insight reframes math as an opportunity rather than a barrier — genuinely counter-intuitive and motivating for parents.</t>
  </si>
  <si>
    <t>2026-07-15T14:20:49.654-07:00</t>
  </si>
  <si>
    <t>sat_myth_003</t>
  </si>
  <si>
    <t>Myth statement: 'IF YOU READ A LOT, YOU'LL DO FINE ON READING'
Visual scene: The girl is curled up happily in an armchair surrounded by a tall stack of novels — clearly a reader, clearly smart. But floating in front of her is an open SAT reading passage about 19th-century crop rotation economics, dense and clinical. She's staring at it with the exact expression of someone who has never seen this kind of text in their life. The novels are warm, colorful, inviting. The passage is grey, small-fonted, and completely alien in tone. The contrast makes the myth collapse on its own.
Insight line (bottom of poster): 'The SAT does not test whether your kid loves books. It tests a very specific set of skills.'</t>
  </si>
  <si>
    <t>Strong visual tension between warm novels and cold passage text. Parent-facing insight is pointed and specific. The scene is immediately recognizable to families of avid readers who assume reading skill transfers automatically.</t>
  </si>
  <si>
    <t>2026-07-15T14:20:49.656-07:00</t>
  </si>
  <si>
    <t>sat_myth_005</t>
  </si>
  <si>
    <t>Myth statement: 'START PREP JUNIOR YEAR — THERE'S PLENTY OF TIME'
Visual scene: The girl stands in front of a calendar on the wall. It's clearly the start of junior year — September. She's circling a test date with a marker. But as the eye travels across the calendar, the months collapse rapidly: college visit weekends are blocked off, midterms fill November, winter break shrinks the December weeks, spring sports consume March. By the time the eye reaches the test date, almost every week between now and then is already claimed by something else. The calendar tells the real story — there is far less open time than the myth implies.
Insight line (bottom of poster): 'Junior year looks wide open — until it isn't. The calendar fills faster than the score improves.'</t>
  </si>
  <si>
    <t>The collapsing calendar is an excellent single-image device. Parents will feel this viscerally. Avoids cliché by showing the time being consumed by legitimate life rather than laziness — more honest and more persuasive.</t>
  </si>
  <si>
    <t>2026-07-15T14:20:49.659-07:00</t>
  </si>
  <si>
    <t>sat_myth_007</t>
  </si>
  <si>
    <t>Myth statement: 'A TUTOR ONCE A WEEK IS ENOUGH'
Visual scene: A physical therapist's office. A patient (not our girl — an adult, to keep the metaphor neutral) is shown limping in on crutches for their weekly appointment. The therapist works with them for an hour. Then — shown in a sequential drift across the same illustration — the patient goes home and sits completely still on the couch for the next six days, leg elevated, doing nothing. Back at the table in the corner of the same scene, our girl is watching this unfold with a dawning realization on her face, an open SAT workbook in front of her. The metaphor: one hour of expert help cannot compensate for six days of zero reinforcement.
Insight line (bottom of poster): 'What happens between sessions determines everything. One hour a week is a start, not a strategy.'</t>
  </si>
  <si>
    <t>Physical therapy metaphor is fresh, immediately legible, and avoids making the tutor or student the villain. The six-days-of-nothing visual sequence is smart. Directly addresses a real parent purchasing decision.</t>
  </si>
  <si>
    <t>2026-07-15T14:20:49.662-07:00</t>
  </si>
  <si>
    <t>sat_myth_008</t>
  </si>
  <si>
    <t>Myth statement: 'VOCABULARY LISTS ARE THE KEY TO READING SCORES'
Visual scene: The girl stands at a bathroom mirror, flashcards taped in rows across the glass — hundreds of vocabulary words staring back at her. She's clearly been at this for weeks; some cards are curling at the edges. She looks determined but slightly glazed. In her hand is an SAT reading question — and it's not asking her to define a word. It's asking her to identify why an author shifted tone in paragraph three. The vocabulary wall behind her is impressively large and completely irrelevant to the question in her hand. The gap between what she prepared for and what the test actually asks is the whole story.
Insight line (bottom of poster): 'The new SAT tests how you read, not what you've memorized. The words are not the point.'</t>
  </si>
  <si>
    <t>Vocabulary wall vs. actual question type is a visually clean and emotionally satisfying contradiction. Highly relevant to the prep-culture parents already believe in. The curling flashcard detail adds authenticity.</t>
  </si>
  <si>
    <t>2026-07-15T14:20:49.664-07:00</t>
  </si>
  <si>
    <t>sat_myth_009</t>
  </si>
  <si>
    <t>Myth statement: 'SOME KIDS JUST AREN'T TEST TAKERS'
Visual scene: A swimming pool. A coach stands at the edge. Our girl is in the water, struggling to coordinate her stroke — arms and legs fighting each other, splashing inefficiently, clearly trying but not yet understanding the technique. The coach is watching with calm patience, not disappointment. On the scoreboard above the pool, her current lap time is slow. But clipped to the coach's clipboard is a series of earlier times — each one slightly faster than the last. The progress is real, just not finished. The myth says the struggle means she's not built for it. The image says she just hasn't been taught correctly yet.
Insight line (bottom of poster): 'No one is a natural test taker. Everyone who scores well was taught how.'</t>
  </si>
  <si>
    <t>Swimming pool metaphor is warm, hopeful, and coach-forward — aligns well with Athena's teacher identity. The clipboard of improving times is a quietly powerful detail. Counters a deeply held belief without being preachy.</t>
  </si>
  <si>
    <t>2026-07-15T14:20:49.668-07:00</t>
  </si>
  <si>
    <t>image_preview</t>
  </si>
  <si>
    <t>refinement_notes</t>
  </si>
  <si>
    <t>resume_url</t>
  </si>
  <si>
    <t>https://cliffsuperset.app.n8n.cloud/webhook-waiting/1901?signature=3346b6b0013ca1e58c30d77436dc0bb8a4b42f20d9aff72ebfc5d141a1d07bcc</t>
  </si>
  <si>
    <t>{"model":"gpt-image-2-image-to-image","callBackUrl":"https://cliffsuperset.app.n8n.cloud/webhook-waiting/1901?signature=3346b6b0013ca1e58c30d77436dc0bb8a4b42f20d9aff72ebfc5d141a1d07bcc","input":{"prompt":"## ATHENA SAT MYTH SERIES\nVertical infographic poster (9:16). Editorial illustration style on cream off-white background. Flat, modern, sophisticated — not cartoony. Clean lines, muted palette, professional feel. Visually tells a story through metaphor rather than listing facts.\n### Header Hierarchy\nSmall orange rounded rectangle at top left: 'MYTH:' in white bold uppercase. Below it, the myth statement in large bold dark navy blue uppercase sans-serif: 'TAKE IT MORE TIMES AND YOUR SCORE WILL GO UP'. Large hand-drawn orange 'X' crossing out the statement. The X is the only intentionally rough/imperfect element.\n### Main Illustration\nA teenage girl with long dark hair in a ponytail, wearing a navy hoodie, sits at a school desk. She is taking a written exam. Around her on the floor are three identical crumpled test papers, all marked with the same low score circled in red. She holds a fourth identical exam, pencil in hand, with the exact same frustrated, tired expression — eyes slightly glazed, posture slumped. The visual metaphor: she keeps running the same race with the same shoes and wondering why her time never improves. The repeated failed tests on the floor make it immediately obvious that repetition alone is not the answer. Cream off-white background. Dark navy blue desk and text elements. Warm beige paper tones. Orange limited strictly to the MYTH tag and the hand-drawn X in the header.\n### Color Palette\nCream off-white background. Dark navy blue as primary text and accent color. Orange limited to: the MYTH tag, the X mark. Warm beige for secondary elements. No purple, no neon, no gradients.\n### The Human Student\nTeenage girl. Long dark hair in a ponytail. Navy hoodie. Relatable, not perfect — tired eyes, frustrated posture when the myth is at work, small moment of clarity by the end. She's the emotional entry point for parents thinking of their own kid.\n### Tone\nWarm authority. Not scolding, not marketing. It's a teacher saying 'you know that thing everyone believes? Yeah, that's wrong — and here's why.' The myths are comforting beliefs that make parents feel productive. The series gently shows why they're not helping.\n### What to Avoid\nNo cartoon Beagle in the illustration. No numbered lists or step-by-step. No dashboard or tech imagery. No 'sign up now' or CTA. No purple, neon, or stock-photo vibes. The series earns engagement by being true — not by asking for it.\n\nReference the provided style image to maintain visual consistency in palette, illustration style, and layout.","input_urls":["https://tempfile.redpandaai.co/kieai/11402406/athena-refs/style_ref.jpg"],"aspect_ratio":"4:5"}}</t>
  </si>
  <si>
    <t>fail</t>
  </si>
  <si>
    <t>Generation Failed (callback_flag: no callback / timeout)</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</si>
  <si>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crossing out wrong answers works better than finding the right one.\" The Beagle sits upright at a desk in a medium shot, staring at an SAT practice test with a mildly overwhelmed expression, pencil in paw. Panel 2: Close-up on the Beagle's face, head tilted, brow furrowed. Text reads: \"I stared at all 4 answers...\" A small hand-drawn question mark floats above the Beagle's head in purple. Panel 3: Side profile shot. The Beagle is hunched over the test, eyes darting between choices. Text reads: \"They all kind of... looked right?\" Purple doodle of four small arrows pointing in different directions. Panel 4: Medium shot, overhead desk view. The Beagle holds the pencil up mid-air, frozen. Text reads: \"So I just... guessed.\" A small purple X doodle near the answer bubble. Panel 5: Eye-level shot. The Beagle looks directly at the viewer with a soft, curious expression. Text reads: \"But here's the thing about SAT questions...\" A purple underline beneath \"SAT questions.\" Panel 6: Over-the-shoulder shot showing the Beagle crossing out two answer choices with confident pencil strokes. Text reads: \"Two answers are always obviously wrong.\" Purple X marks drawn through the eliminated choices, hand-drawn style. Panel 7: Medium shot, the Beagle sitting back with a small proud smile, pencil resting on the desk. Text reads: \"Now I only have to decide between TWO.\" Purple emphasis and underline on \"TWO.\" Panel 8 (Aha moment): Close-up on the Beagle's face, eyes wide and bright, a tiny smile forming. Text reads: \"Ohhhh... that's the whole game.\" A hand-drawn purple light bulb glows gently above the Beagle's head. Warm soft studio lighting throughout. Consistent cream and white palette. Realistic painterly Beagle illustration across all panels.\n\nReference the provided style image to maintain visual consistency in palette, illustration style, and layout.","input_urls":["https://tempfile.redpandaai.co/kieai/11402406/athena-refs/style_ref.jpg"],"aspect_ratio":"4:5"}}</t>
  </si>
  <si>
    <t>Generation Failed (polls: 20, status: unknown)</t>
  </si>
  <si>
    <t>6b716cae17eb7ef807f571e80c60abc0</t>
  </si>
  <si>
    <t>unknown</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</si>
  <si>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 SPECIFIC CONTENT FOR THIS CAROUSEL: Title panel (Panel 1): Hand-lettered title reads \"Why re-reading the question — not the passage — is the secret move in SAT Reading.\" The Beagle sits at a desk in a medium shot, staring at a dense SAT reading passage with a tired, glazed expression. A desk lamp casts warm light across the page. Panel 2: Close-up on the Beagle's drooping eyes scanning lines of text on a practice test. Text reads: \"I read the whole passage.\" A small hand-drawn purple clock doodle in the corner suggesting time passing. Panel 3: Side profile shot. The Beagle flips back through pages, paw tracing text frantically. Text reads: \"Then re-read it trying to find the answer.\" Purple squiggly lines under \"re-read\" suggesting stress. Panel 4: Overhead desk view. The Beagle is slumped forward, chin resting on the desk, eyes barely open. Text reads: \"I ran out of time. Again.\" A small hand-drawn purple hourglass doodle near the corner. Panel 5: Eye-level shot. The Beagle sits up, looking curiously at the viewer, one ear slightly raised. Text reads: \"Here's what no one tells you...\" Purple ellipsis dots trail off with a subtle hand-drawn doodle. Panel 6: Medium shot, the Beagle holding a pencil and pointing directly at the question text on the page — not the passage. Text reads: \"The question tells you exactly where to look.\" Purple arrow drawn pointing down toward the question with emphasis. Panel 7: Over-the-shoulder shot showing the Beagle circling a specific line in the passage confidently, with a small satisfied expression. Text reads: \"Read the question first. Then go find it.\" Purple underline beneath \"Read the question first.\" Panel 8 (Aha moment): Close-up on the Beagle's face, bright wide eyes, a warm relieved smile. Text reads: \"Ohhhh... I was reading everything except the right thing.\" A hand-drawn purple light bulb and small star burst appear beside the Beagle's head. Warm soft studio lighting throughout. Consistent cream and white palette. Realistic painterly Beagle illustration across all panels.\n\nReference the provided style image to maintain visual consistency in palette, illustration style, and layout.","input_urls":["https://tempfile.redpandaai.co/kieai/11402406/athena-refs/style_ref.jpg"],"aspect_ratio":"4:5"}}</t>
  </si>
  <si>
    <t>6c99745a22f696be02664f28b280ff60</t>
  </si>
  <si>
    <t>https://drive.google.com/uc?id=1BkQJtqDOaHaAw-pubyYnlGBDQnf4_eAz</t>
  </si>
  <si>
    <t>https://tempfile.aiquickdraw.com/images/chatgpt/file_00000000681c722f89f9b076775880eb.png</t>
  </si>
  <si>
    <t>5699248908fbcc8705240d14a53b256d</t>
  </si>
  <si>
    <t>1BkQJtqDOaHaAw-pubyYnlGBDQnf4_eAz</t>
  </si>
  <si>
    <t>https://drive.google.com/uc?id=1T00PbEsncvm7Ib3hwRopTsTVAoE28IeH</t>
  </si>
  <si>
    <t>https://tempfile.aiquickdraw.com/images/chatgpt/file_00000000d8a8720c87478f972b58ae3e.png</t>
  </si>
  <si>
    <t>a649d11b42bb6c3d79d93dc18d444fd2</t>
  </si>
  <si>
    <t>1T00PbEsncvm7Ib3hwRopTsTVAoE28IeH</t>
  </si>
  <si>
    <t>Post</t>
  </si>
  <si>
    <t>https://drive.google.com/uc?id=1RoYL0-FdR0okT1CV-_ZE3797vGqHqETV</t>
  </si>
  <si>
    <t>{"model":"gpt-image-2-image-to-image","input":{"prompt":"ATHENA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preachy.\n\nSPECIFIC CONTENT FOR THIS IMAGE:\nTitle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there.'\n\nReference the provided style image to maintain visual consistency in palette, illustration style, and layout.","input_urls":["https://tempfile.redpandaai.co/kieai/11402406/athena-refs/style_ref.jpg"],"aspect_ratio":"4:5"}}</t>
  </si>
  <si>
    <t>https://tempfile.aiquickdraw.com/images/chatgpt/file_00000000b6ac720cb74ea8a8b8c35ec5.png</t>
  </si>
  <si>
    <t>6e3e2ec98a2867543b3ca544d30a6293</t>
  </si>
  <si>
    <t>1RoYL0-FdR0okT1CV-_ZE3797vGqHqETV</t>
  </si>
  <si>
    <t>ATHENA "WHY..." STORY SERIES Vertical Tiktok Carousel (9:16, 1080×1920). Eight-panel visual story on a warm cream background with clean white gutters. Premium educational storytelling that feels like something parents would save and share—not an advertisement. Layout The first panel is the title. The remaining seven panels each depict one emotional beat in sequence. Every panel contains only one short phrase or sentence. The story should be understandable even without reading every word. Visual Style The Beagle is rendered in a highly realistic painterly illustration style—not cartoon, anime, or cel-shaded. Think premium modern children's book illustration or high-end digital painting with lifelike fur, expressive eyes, natural anatomy, and soft studio lighting. Every image should feel almost photographic while retaining a subtle painterly finish. The text and doodles are hand-drawn, but the Beagle and props remain realistic. The contrast between realistic imagery and playful typography is a defining part of the style. Beagle The Beagle is always the student. Sweet, curious, expressive, and emotionally relatable. Orange, white, and black coat. Brown eyes. Black collar with a small gold Athena medallion. Every panel should feature a different composition and pose. Avoid repeating the same camera angle. Examples include: Thinking with paw on chin Reading from the front Side profile writing Looking over a laptop Slumped on a desk Celebrating with a smile Confused with tilted head Lying down exhausted Holding a pencil Looking at a whiteboard Looking directly at the viewer Over-the-shoulder shot Expressions should carry most of the storytelling. Camera &amp; Composition Mix close-ups, medium shots, side angles, overhead desk views, and eye-level perspectives throughout the carousel. Every panel should feel visually distinct while maintaining consistent lighting and art style. Typography Friendly hand-lettered black typography with selective purple emphasis on key words. Purple underlines, arrows, question marks, hearts, stars, light bulbs, and thought bubbles reinforce emotion without overwhelming the composition. Props Keep environments minimal and uncluttered. Use realistic study objects such as: SAT practice tests Spiral notebooks Pencils and highlighters Laptop Calculator Whiteboard Timer Textbooks Sticky notes Desk lamp Clock Props should support the story, never distract from it. Color Palette Warm cream background White panel interiors Soft natural wood desks Black typography Rich purple (#4F3CC9) for emphasis and doodles Yellow highlighter only in the footer highlight Natural, realistic Beagle colors No bright gradients, neon colors, or overly saturated illustrations. Footer Persistent footer across every carousel: Small Athena Beagle icon on the left Text: "You're not lazy. You just need the right help at the right time." Highlight only "the right help at the right time." with a soft yellow marker. Speech bubble on the right: "That's where I come in." Small purple arrow indicating there are more slides. Tone Warm, encouraging, emotionally relatable, and educational. Each carousel should tell a tiny story ending with one simple realization. The Beagle's expressions should communicate more emotion than the text. The final panel should create an "aha" moment that feels insightful rather than preachy.
SPECIFIC CONTENT FOR THIS IMAGE:
Title Panel: 'Why do you blank on SAT math you definitely already know?' Panel 1 — The Beagle stares at a math problem on a practice test, pencil frozen mid-air, mouth slightly open. Expression is frozen panic. Text: 'You have done this before. You know this.' Panel 2 — Overhead desk shot. The Beagle's paw is pressed flat on the page. A clock sits nearby. Text: 'But the timer is running.' Panel 3 — Close-up on the Beagle's wide, slightly overwhelmed eyes. Text: 'And your brain just... leaves.' Panel 4 — Side profile. The Beagle takes a slow breath, eyes closed, paw resting on the desk. Text: 'That is not forgetting. That is panic.' Panel 5 — Medium shot. The Beagle opens a spiral notebook to a page that shows a familiar worked example. Expression softens. Text: 'Your brain needs a door back in.' Panel 6 — The Beagle writes one small familiar step — just the first step — in the margin of the test. A tiny purple arrow points to it. Text: 'Start with what you do know.' Panel 7 — The Beagle looks up from the test, expression calm and slightly relieved, pencil still moving. Text: 'The rest follows. It was always there.'
Reference the provided style image to maintain visual consistency in palette, illustration style, and layout.</t>
  </si>
  <si>
    <t>2026-07-15T13:11:24.323-07:00</t>
  </si>
  <si>
    <t>Kie (GPT Image 2)</t>
  </si>
  <si>
    <t>Claude Prompts</t>
  </si>
  <si>
    <t>Buffer</t>
  </si>
  <si>
    <t>Totals</t>
  </si>
  <si>
    <t>config:</t>
  </si>
  <si>
    <t>Cost Per Single Gen</t>
  </si>
  <si>
    <t>images per post</t>
  </si>
  <si>
    <t>Cost Per Campaign Per Week</t>
  </si>
  <si>
    <t xml:space="preserve"># of campaigns </t>
  </si>
  <si>
    <t>Total Cost Per Week</t>
  </si>
  <si>
    <t>posts per week</t>
  </si>
  <si>
    <t>Total Cost Per Month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</si>
</sst>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4">
    <font>
      <sz val="10.0"/>
      <color rgb="FF000000"/>
      <name val="Arial"/>
      <scheme val="minor"/>
    </font>
    <font>
      <color theme="1"/>
      <name val="Arial"/>
      <scheme val="minor"/>
    </font>
    <font>
      <u/>
      <color rgb="FF0000FF"/>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0" xfId="0" applyFont="1"/>
    <xf quotePrefix="1" borderId="0" fillId="0" fontId="1" numFmtId="0" xfId="0" applyAlignment="1" applyFont="1">
      <alignment readingOrder="0"/>
    </xf>
    <xf borderId="0" fillId="0" fontId="3" numFmtId="0" xfId="0" applyFont="1"/>
    <xf borderId="0" fillId="0" fontId="1" numFmtId="164" xfId="0" applyAlignment="1" applyFont="1" applyNumberFormat="1">
      <alignment readingOrder="0"/>
    </xf>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a1irmvxv/image/upload/f_auto,q_auto/hf_20260630_002349_744b79a7-84f6-4760-9bb8-95a9d0e040e3_1_jnwc44" TargetMode="External"/><Relationship Id="rId2" Type="http://schemas.openxmlformats.org/officeDocument/2006/relationships/hyperlink" Target="https://res.cloudinary.com/a1irmvxv/image/upload/f_auto,q_auto/hf_20260630_002349_744b79a7-84f6-4760-9bb8-95a9d0e040e3_1_jnwc44" TargetMode="External"/><Relationship Id="rId3" Type="http://schemas.openxmlformats.org/officeDocument/2006/relationships/hyperlink" Target="https://res.cloudinary.com/a1irmvxv/image/upload/f_auto,q_auto/hf_20260630_003148_8cdf9166-5c23-4c3d-8c7f-cf7f872a39ce_xgls2u" TargetMode="External"/><Relationship Id="rId4" Type="http://schemas.openxmlformats.org/officeDocument/2006/relationships/hyperlink" Target="https://res.cloudinary.com/a1irmvxv/image/upload/f_auto,q_auto/hf_20260630_003148_8cdf9166-5c23-4c3d-8c7f-cf7f872a39ce_xgls2u" TargetMode="External"/><Relationship Id="rId11" Type="http://schemas.openxmlformats.org/officeDocument/2006/relationships/drawing" Target="../drawings/drawing1.xml"/><Relationship Id="rId10" Type="http://schemas.openxmlformats.org/officeDocument/2006/relationships/hyperlink" Target="https://res.cloudinary.com/a1irmvxv/image/upload/f_auto,q_auto/ChatGPT_Image_Jul_13_2026_02_32_35_PM_wx14ep" TargetMode="External"/><Relationship Id="rId9" Type="http://schemas.openxmlformats.org/officeDocument/2006/relationships/hyperlink" Target="https://res.cloudinary.com/a1irmvxv/image/upload/f_auto,q_auto/ChatGPT_Image_Jul_13_2026_02_32_35_PM_wx14ep" TargetMode="External"/><Relationship Id="rId5" Type="http://schemas.openxmlformats.org/officeDocument/2006/relationships/hyperlink" Target="https://res.cloudinary.com/a1irmvxv/image/upload/f_auto,q_auto/ChatGPT_Image_Jun_24_2026_02_26_06_PM_x1isth" TargetMode="External"/><Relationship Id="rId6" Type="http://schemas.openxmlformats.org/officeDocument/2006/relationships/hyperlink" Target="https://res.cloudinary.com/a1irmvxv/image/upload/f_auto,q_auto/ChatGPT_Image_Jun_24_2026_02_26_06_PM_x1isth" TargetMode="External"/><Relationship Id="rId7" Type="http://schemas.openxmlformats.org/officeDocument/2006/relationships/hyperlink" Target="https://res.cloudinary.com/a1irmvxv/image/upload/f_auto,q_auto/ChatGPT_Image_Jun_24_2026_02_27_36_PM_avlrpn" TargetMode="External"/><Relationship Id="rId8" Type="http://schemas.openxmlformats.org/officeDocument/2006/relationships/hyperlink" Target="https://res.cloudinary.com/a1irmvxv/image/upload/f_auto,q_auto/ChatGPT_Image_Jun_24_2026_02_27_36_PM_avlrpn"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tempfile.aiquickdraw.com/images/chatgpt/file_00000000b8e871fd97834e4739db4425.png" TargetMode="External"/><Relationship Id="rId42" Type="http://schemas.openxmlformats.org/officeDocument/2006/relationships/hyperlink" Target="https://res.cloudinary.com/a1irmvxv/image/upload/f_auto,q_auto/ChatGPT_Image_Jul_13_2026_02_32_35_PM_wx14ep" TargetMode="External"/><Relationship Id="rId41" Type="http://schemas.openxmlformats.org/officeDocument/2006/relationships/hyperlink" Target="https://drive.google.com/uc?id=1a-iX9Gd78mBH4NRLoUtncFTcj0Ts8eIB" TargetMode="External"/><Relationship Id="rId44" Type="http://schemas.openxmlformats.org/officeDocument/2006/relationships/hyperlink" Target="https://tempfile.aiquickdraw.com/images/chatgpt/file_000000009efc720c8c099ceed7a9b99f.png" TargetMode="External"/><Relationship Id="rId43" Type="http://schemas.openxmlformats.org/officeDocument/2006/relationships/hyperlink" Target="https://tempfile.redpandaai.co/kieai/11402406/athena-refs/style_ref.jpg" TargetMode="External"/><Relationship Id="rId46" Type="http://schemas.openxmlformats.org/officeDocument/2006/relationships/hyperlink" Target="https://res.cloudinary.com/a1irmvxv/image/upload/f_auto,q_auto/ChatGPT_Image_Jul_13_2026_02_32_35_PM_wx14ep" TargetMode="External"/><Relationship Id="rId45" Type="http://schemas.openxmlformats.org/officeDocument/2006/relationships/hyperlink" Target="https://drive.google.com/uc?id=17fXMbj_BmjDf6pIYhRaHoZJt5mA2nmC1" TargetMode="External"/><Relationship Id="rId1" Type="http://schemas.openxmlformats.org/officeDocument/2006/relationships/hyperlink" Target="https://res.cloudinary.com/a1irmvxv/image/upload/f_auto,q_auto/ChatGPT_Image_Jun_24_2026_02_26_06_PM_x1isth" TargetMode="External"/><Relationship Id="rId2" Type="http://schemas.openxmlformats.org/officeDocument/2006/relationships/hyperlink" Target="https://tempfile.redpandaai.co/kieai/11402406/athena-refs/style_ref.jpg" TargetMode="External"/><Relationship Id="rId3" Type="http://schemas.openxmlformats.org/officeDocument/2006/relationships/hyperlink" Target="https://tempfile.aiquickdraw.com/images/chatgpt/file_0000000073d4720cada87dd2ab4ea2be.png" TargetMode="External"/><Relationship Id="rId4" Type="http://schemas.openxmlformats.org/officeDocument/2006/relationships/hyperlink" Target="https://drive.google.com/uc?id=1986uKB8ne4rTP2ET6PU4GClKqpOv7qZ4" TargetMode="External"/><Relationship Id="rId9" Type="http://schemas.openxmlformats.org/officeDocument/2006/relationships/hyperlink" Target="https://res.cloudinary.com/a1irmvxv/image/upload/f_auto,q_auto/ChatGPT_Image_Jul_13_2026_02_32_35_PM_wx14ep" TargetMode="External"/><Relationship Id="rId48" Type="http://schemas.openxmlformats.org/officeDocument/2006/relationships/hyperlink" Target="https://tempfile.aiquickdraw.com/images/chatgpt/file_0000000026c871fd9112c0a0f8f6bd03.png" TargetMode="External"/><Relationship Id="rId47" Type="http://schemas.openxmlformats.org/officeDocument/2006/relationships/hyperlink" Target="https://tempfile.redpandaai.co/kieai/11402406/athena-refs/style_ref.jpg" TargetMode="External"/><Relationship Id="rId49" Type="http://schemas.openxmlformats.org/officeDocument/2006/relationships/hyperlink" Target="https://drive.google.com/uc?id=1LPgH6UL8bQf9gNrRe7uOfOdMCj2WTCX0" TargetMode="External"/><Relationship Id="rId5" Type="http://schemas.openxmlformats.org/officeDocument/2006/relationships/hyperlink" Target="https://res.cloudinary.com/a1irmvxv/image/upload/f_auto,q_auto/ChatGPT_Image_Jul_13_2026_02_32_35_PM_wx14ep" TargetMode="External"/><Relationship Id="rId6" Type="http://schemas.openxmlformats.org/officeDocument/2006/relationships/hyperlink" Target="https://tempfile.redpandaai.co/kieai/11402406/athena-refs/style_ref.jpg" TargetMode="External"/><Relationship Id="rId7" Type="http://schemas.openxmlformats.org/officeDocument/2006/relationships/hyperlink" Target="https://tempfile.aiquickdraw.com/images/chatgpt/file_0000000003c471f5a5d444f69b7db6fd.png" TargetMode="External"/><Relationship Id="rId8" Type="http://schemas.openxmlformats.org/officeDocument/2006/relationships/hyperlink" Target="https://drive.google.com/uc?id=1axzQogpet0OO1ucMNmyY927qLN5VCkrA" TargetMode="External"/><Relationship Id="rId31" Type="http://schemas.openxmlformats.org/officeDocument/2006/relationships/hyperlink" Target="https://tempfile.redpandaai.co/kieai/11402406/athena-refs/style_ref.jpg" TargetMode="External"/><Relationship Id="rId30" Type="http://schemas.openxmlformats.org/officeDocument/2006/relationships/hyperlink" Target="https://res.cloudinary.com/a1irmvxv/image/upload/f_auto,q_auto/ChatGPT_Image_Jul_13_2026_02_32_35_PM_wx14ep" TargetMode="External"/><Relationship Id="rId33" Type="http://schemas.openxmlformats.org/officeDocument/2006/relationships/hyperlink" Target="https://drive.google.com/uc?id=1qpnNFRdxDT-5fzEqloOO-FK9a0GhxtA1" TargetMode="External"/><Relationship Id="rId32" Type="http://schemas.openxmlformats.org/officeDocument/2006/relationships/hyperlink" Target="https://tempfile.aiquickdraw.com/images/chatgpt/file_00000000ee4071f59e9c69d9248a8f1a.png" TargetMode="External"/><Relationship Id="rId35" Type="http://schemas.openxmlformats.org/officeDocument/2006/relationships/hyperlink" Target="https://tempfile.redpandaai.co/kieai/11402406/athena-refs/style_ref.jpg" TargetMode="External"/><Relationship Id="rId34" Type="http://schemas.openxmlformats.org/officeDocument/2006/relationships/hyperlink" Target="https://res.cloudinary.com/a1irmvxv/image/upload/f_auto,q_auto/ChatGPT_Image_Jul_13_2026_02_32_35_PM_wx14ep" TargetMode="External"/><Relationship Id="rId37" Type="http://schemas.openxmlformats.org/officeDocument/2006/relationships/hyperlink" Target="https://drive.google.com/uc?id=11orFzPxTHpyaaZZczJJRK1hAtQt7cb8x" TargetMode="External"/><Relationship Id="rId36" Type="http://schemas.openxmlformats.org/officeDocument/2006/relationships/hyperlink" Target="https://tempfile.aiquickdraw.com/images/chatgpt/file_00000000f4d471fd9f0c87a5a530ca8e.png" TargetMode="External"/><Relationship Id="rId39" Type="http://schemas.openxmlformats.org/officeDocument/2006/relationships/hyperlink" Target="https://tempfile.redpandaai.co/kieai/11402406/athena-refs/style_ref.jpg" TargetMode="External"/><Relationship Id="rId38" Type="http://schemas.openxmlformats.org/officeDocument/2006/relationships/hyperlink" Target="https://res.cloudinary.com/a1irmvxv/image/upload/f_auto,q_auto/ChatGPT_Image_Jul_13_2026_02_32_35_PM_wx14ep" TargetMode="External"/><Relationship Id="rId20" Type="http://schemas.openxmlformats.org/officeDocument/2006/relationships/hyperlink" Target="https://tempfile.aiquickdraw.com/images/chatgpt/file_00000000cf5071f5b9ca1fa8b7fb2ce1.png" TargetMode="External"/><Relationship Id="rId22" Type="http://schemas.openxmlformats.org/officeDocument/2006/relationships/hyperlink" Target="https://res.cloudinary.com/a1irmvxv/image/upload/f_auto,q_auto/ChatGPT_Image_Jul_13_2026_02_32_35_PM_wx14ep" TargetMode="External"/><Relationship Id="rId21" Type="http://schemas.openxmlformats.org/officeDocument/2006/relationships/hyperlink" Target="https://drive.google.com/uc?id=1Y6NRtGDmtQIUpTCDgqU5pd78VkCFNVZ0" TargetMode="External"/><Relationship Id="rId24" Type="http://schemas.openxmlformats.org/officeDocument/2006/relationships/hyperlink" Target="https://tempfile.aiquickdraw.com/images/chatgpt/file_00000000b308720cb55b7f6f444b7a44.png" TargetMode="External"/><Relationship Id="rId23" Type="http://schemas.openxmlformats.org/officeDocument/2006/relationships/hyperlink" Target="https://tempfile.redpandaai.co/kieai/11402406/athena-refs/style_ref.jpg" TargetMode="External"/><Relationship Id="rId26" Type="http://schemas.openxmlformats.org/officeDocument/2006/relationships/hyperlink" Target="https://res.cloudinary.com/a1irmvxv/image/upload/f_auto,q_auto/ChatGPT_Image_Jul_13_2026_02_32_35_PM_wx14ep" TargetMode="External"/><Relationship Id="rId25" Type="http://schemas.openxmlformats.org/officeDocument/2006/relationships/hyperlink" Target="https://drive.google.com/uc?id=1A5L4Yt5tpuT0AXDZXbMQwDaAyOuV3qaQ" TargetMode="External"/><Relationship Id="rId28" Type="http://schemas.openxmlformats.org/officeDocument/2006/relationships/hyperlink" Target="https://tempfile.aiquickdraw.com/images/chatgpt/file_00000000cf80720c920928e2e2a07c10.png" TargetMode="External"/><Relationship Id="rId27" Type="http://schemas.openxmlformats.org/officeDocument/2006/relationships/hyperlink" Target="https://tempfile.redpandaai.co/kieai/11402406/athena-refs/style_ref.jpg" TargetMode="External"/><Relationship Id="rId29" Type="http://schemas.openxmlformats.org/officeDocument/2006/relationships/hyperlink" Target="https://drive.google.com/uc?id=109gBhPKLZ7CUpSPuki-t71akx5xBVhjw" TargetMode="External"/><Relationship Id="rId51" Type="http://schemas.openxmlformats.org/officeDocument/2006/relationships/hyperlink" Target="https://tempfile.redpandaai.co/kieai/11402406/athena-refs/style_ref.jpg" TargetMode="External"/><Relationship Id="rId50" Type="http://schemas.openxmlformats.org/officeDocument/2006/relationships/hyperlink" Target="https://res.cloudinary.com/a1irmvxv/image/upload/f_auto,q_auto/ChatGPT_Image_Jul_13_2026_02_32_35_PM_wx14ep" TargetMode="External"/><Relationship Id="rId53" Type="http://schemas.openxmlformats.org/officeDocument/2006/relationships/hyperlink" Target="https://drive.google.com/uc?id=1M9asYKpO46bvcdqPMJjAgSp8LVbeRykh" TargetMode="External"/><Relationship Id="rId52" Type="http://schemas.openxmlformats.org/officeDocument/2006/relationships/hyperlink" Target="https://tempfile.aiquickdraw.com/images/chatgpt/file_00000000890871f69ee0e669b8e16b22.png" TargetMode="External"/><Relationship Id="rId11" Type="http://schemas.openxmlformats.org/officeDocument/2006/relationships/hyperlink" Target="https://tempfile.aiquickdraw.com/images/chatgpt/file_000000002168722fb2d34681fd0ceb6e.png" TargetMode="External"/><Relationship Id="rId10" Type="http://schemas.openxmlformats.org/officeDocument/2006/relationships/hyperlink" Target="https://tempfile.redpandaai.co/kieai/11402406/athena-refs/style_ref.jpg" TargetMode="External"/><Relationship Id="rId54" Type="http://schemas.openxmlformats.org/officeDocument/2006/relationships/drawing" Target="../drawings/drawing2.xml"/><Relationship Id="rId13" Type="http://schemas.openxmlformats.org/officeDocument/2006/relationships/hyperlink" Target="https://drive.google.com/uc?id=1RoYL0-FdR0okT1CV-_ZE3797vGqHqETV%22" TargetMode="External"/><Relationship Id="rId12" Type="http://schemas.openxmlformats.org/officeDocument/2006/relationships/hyperlink" Target="https://drive.google.com/uc?id=1WC_fkf5LoF-1-3s6sPB48LVswkwD1OEl" TargetMode="External"/><Relationship Id="rId15" Type="http://schemas.openxmlformats.org/officeDocument/2006/relationships/hyperlink" Target="https://tempfile.redpandaai.co/kieai/11402406/athena-refs/style_ref.jpg" TargetMode="External"/><Relationship Id="rId14" Type="http://schemas.openxmlformats.org/officeDocument/2006/relationships/hyperlink" Target="https://res.cloudinary.com/a1irmvxv/image/upload/f_auto,q_auto/ChatGPT_Image_Jul_13_2026_02_32_35_PM_wx14ep" TargetMode="External"/><Relationship Id="rId17" Type="http://schemas.openxmlformats.org/officeDocument/2006/relationships/hyperlink" Target="https://drive.google.com/uc?id=1J2kf8Cb7CEpYXJoH3BS_7VnM5zVRPdq_" TargetMode="External"/><Relationship Id="rId16" Type="http://schemas.openxmlformats.org/officeDocument/2006/relationships/hyperlink" Target="https://tempfile.aiquickdraw.com/images/chatgpt/file_0000000068ac71f58ee5372029af1a05.png" TargetMode="External"/><Relationship Id="rId19" Type="http://schemas.openxmlformats.org/officeDocument/2006/relationships/hyperlink" Target="https://tempfile.redpandaai.co/kieai/11402406/athena-refs/style_ref.jpg" TargetMode="External"/><Relationship Id="rId18" Type="http://schemas.openxmlformats.org/officeDocument/2006/relationships/hyperlink" Target="https://res.cloudinary.com/a1irmvxv/image/upload/f_auto,q_auto/ChatGPT_Image_Jul_13_2026_02_32_35_PM_wx14ep"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uc?id=1A5L4Yt5tpuT0AXDZXbMQwDaAyOuV3qaQ" TargetMode="External"/><Relationship Id="rId42" Type="http://schemas.openxmlformats.org/officeDocument/2006/relationships/hyperlink" Target="https://tempfile.redpandaai.co/kieai/11402406/athena-refs/style_ref.jpg" TargetMode="External"/><Relationship Id="rId41" Type="http://schemas.openxmlformats.org/officeDocument/2006/relationships/hyperlink" Target="https://res.cloudinary.com/a1irmvxv/image/upload/f_auto,q_auto/ChatGPT_Image_Jul_13_2026_02_32_35_PM_wx14ep" TargetMode="External"/><Relationship Id="rId44" Type="http://schemas.openxmlformats.org/officeDocument/2006/relationships/hyperlink" Target="https://drive.google.com/uc?id=109gBhPKLZ7CUpSPuki-t71akx5xBVhjw" TargetMode="External"/><Relationship Id="rId43" Type="http://schemas.openxmlformats.org/officeDocument/2006/relationships/hyperlink" Target="https://tempfile.aiquickdraw.com/images/chatgpt/file_00000000b308720cb55b7f6f444b7a44.png" TargetMode="External"/><Relationship Id="rId46" Type="http://schemas.openxmlformats.org/officeDocument/2006/relationships/hyperlink" Target="https://tempfile.redpandaai.co/kieai/11402406/athena-refs/style_ref.jpg" TargetMode="External"/><Relationship Id="rId45" Type="http://schemas.openxmlformats.org/officeDocument/2006/relationships/hyperlink" Target="https://res.cloudinary.com/a1irmvxv/image/upload/f_auto,q_auto/ChatGPT_Image_Jul_13_2026_02_32_35_PM_wx14ep" TargetMode="External"/><Relationship Id="rId1" Type="http://schemas.openxmlformats.org/officeDocument/2006/relationships/hyperlink" Target="https://res.cloudinary.com/a1irmvxv/image/upload/f_auto,q_auto/hf_20260630_002349_744b79a7-84f6-4760-9bb8-95a9d0e040e3_1_jnwc44" TargetMode="External"/><Relationship Id="rId2" Type="http://schemas.openxmlformats.org/officeDocument/2006/relationships/hyperlink" Target="https://tempfile.redpandaai.co/kieai/11402406/athena-refs/style_ref.jpg" TargetMode="External"/><Relationship Id="rId3" Type="http://schemas.openxmlformats.org/officeDocument/2006/relationships/hyperlink" Target="https://cliffsuperset.app.n8n.cloud/webhook-waiting/1901?signature=3346b6b0013ca1e58c30d77436dc0bb8a4b42f20d9aff72ebfc5d141a1d07bcc" TargetMode="External"/><Relationship Id="rId4" Type="http://schemas.openxmlformats.org/officeDocument/2006/relationships/hyperlink" Target="https://res.cloudinary.com/a1irmvxv/image/upload/f_auto,q_auto/ChatGPT_Image_Jul_13_2026_02_32_35_PM_wx14ep" TargetMode="External"/><Relationship Id="rId9" Type="http://schemas.openxmlformats.org/officeDocument/2006/relationships/hyperlink" Target="https://res.cloudinary.com/a1irmvxv/image/upload/f_auto,q_auto/ChatGPT_Image_Jul_13_2026_02_32_35_PM_wx14ep" TargetMode="External"/><Relationship Id="rId48" Type="http://schemas.openxmlformats.org/officeDocument/2006/relationships/hyperlink" Target="https://drive.google.com/uc?id=1qpnNFRdxDT-5fzEqloOO-FK9a0GhxtA1" TargetMode="External"/><Relationship Id="rId47" Type="http://schemas.openxmlformats.org/officeDocument/2006/relationships/hyperlink" Target="https://tempfile.aiquickdraw.com/images/chatgpt/file_00000000cf80720c920928e2e2a07c10.png" TargetMode="External"/><Relationship Id="rId49" Type="http://schemas.openxmlformats.org/officeDocument/2006/relationships/hyperlink" Target="https://res.cloudinary.com/a1irmvxv/image/upload/f_auto,q_auto/ChatGPT_Image_Jul_13_2026_02_32_35_PM_wx14ep" TargetMode="External"/><Relationship Id="rId5" Type="http://schemas.openxmlformats.org/officeDocument/2006/relationships/hyperlink" Target="https://tempfile.redpandaai.co/kieai/11402406/athena-refs/style_ref.jpg" TargetMode="External"/><Relationship Id="rId6" Type="http://schemas.openxmlformats.org/officeDocument/2006/relationships/hyperlink" Target="https://res.cloudinary.com/a1irmvxv/image/upload/f_auto,q_auto/ChatGPT_Image_Jul_13_2026_02_32_35_PM_wx14ep" TargetMode="External"/><Relationship Id="rId7" Type="http://schemas.openxmlformats.org/officeDocument/2006/relationships/hyperlink" Target="https://tempfile.redpandaai.co/kieai/11402406/athena-refs/style_ref.jpg" TargetMode="External"/><Relationship Id="rId8" Type="http://schemas.openxmlformats.org/officeDocument/2006/relationships/hyperlink" Target="https://drive.google.com/uc?id=1BkQJtqDOaHaAw-pubyYnlGBDQnf4_eAz" TargetMode="External"/><Relationship Id="rId72" Type="http://schemas.openxmlformats.org/officeDocument/2006/relationships/drawing" Target="../drawings/drawing3.xml"/><Relationship Id="rId31" Type="http://schemas.openxmlformats.org/officeDocument/2006/relationships/hyperlink" Target="https://tempfile.aiquickdraw.com/images/chatgpt/file_00000000b6ac720cb74ea8a8b8c35ec5.png" TargetMode="External"/><Relationship Id="rId30" Type="http://schemas.openxmlformats.org/officeDocument/2006/relationships/hyperlink" Target="https://tempfile.redpandaai.co/kieai/11402406/athena-refs/style_ref.jpg" TargetMode="External"/><Relationship Id="rId33" Type="http://schemas.openxmlformats.org/officeDocument/2006/relationships/hyperlink" Target="https://res.cloudinary.com/a1irmvxv/image/upload/f_auto,q_auto/ChatGPT_Image_Jul_13_2026_02_32_35_PM_wx14ep" TargetMode="External"/><Relationship Id="rId32" Type="http://schemas.openxmlformats.org/officeDocument/2006/relationships/hyperlink" Target="https://drive.google.com/uc?id=1J2kf8Cb7CEpYXJoH3BS_7VnM5zVRPdq_" TargetMode="External"/><Relationship Id="rId35" Type="http://schemas.openxmlformats.org/officeDocument/2006/relationships/hyperlink" Target="https://tempfile.aiquickdraw.com/images/chatgpt/file_0000000068ac71f58ee5372029af1a05.png" TargetMode="External"/><Relationship Id="rId34" Type="http://schemas.openxmlformats.org/officeDocument/2006/relationships/hyperlink" Target="https://tempfile.redpandaai.co/kieai/11402406/athena-refs/style_ref.jpg" TargetMode="External"/><Relationship Id="rId71" Type="http://schemas.openxmlformats.org/officeDocument/2006/relationships/hyperlink" Target="https://tempfile.aiquickdraw.com/images/chatgpt/file_00000000890871f69ee0e669b8e16b22.png" TargetMode="External"/><Relationship Id="rId70" Type="http://schemas.openxmlformats.org/officeDocument/2006/relationships/hyperlink" Target="https://tempfile.redpandaai.co/kieai/11402406/athena-refs/style_ref.jpg" TargetMode="External"/><Relationship Id="rId37" Type="http://schemas.openxmlformats.org/officeDocument/2006/relationships/hyperlink" Target="https://res.cloudinary.com/a1irmvxv/image/upload/f_auto,q_auto/ChatGPT_Image_Jul_13_2026_02_32_35_PM_wx14ep" TargetMode="External"/><Relationship Id="rId36" Type="http://schemas.openxmlformats.org/officeDocument/2006/relationships/hyperlink" Target="https://drive.google.com/uc?id=1Y6NRtGDmtQIUpTCDgqU5pd78VkCFNVZ0" TargetMode="External"/><Relationship Id="rId39" Type="http://schemas.openxmlformats.org/officeDocument/2006/relationships/hyperlink" Target="https://tempfile.aiquickdraw.com/images/chatgpt/file_00000000cf5071f5b9ca1fa8b7fb2ce1.png" TargetMode="External"/><Relationship Id="rId38" Type="http://schemas.openxmlformats.org/officeDocument/2006/relationships/hyperlink" Target="https://tempfile.redpandaai.co/kieai/11402406/athena-refs/style_ref.jpg" TargetMode="External"/><Relationship Id="rId62" Type="http://schemas.openxmlformats.org/officeDocument/2006/relationships/hyperlink" Target="https://tempfile.redpandaai.co/kieai/11402406/athena-refs/style_ref.jpg" TargetMode="External"/><Relationship Id="rId61" Type="http://schemas.openxmlformats.org/officeDocument/2006/relationships/hyperlink" Target="https://res.cloudinary.com/a1irmvxv/image/upload/f_auto,q_auto/ChatGPT_Image_Jul_13_2026_02_32_35_PM_wx14ep" TargetMode="External"/><Relationship Id="rId20" Type="http://schemas.openxmlformats.org/officeDocument/2006/relationships/hyperlink" Target="https://drive.google.com/uc?id=1axzQogpet0OO1ucMNmyY927qLN5VCkrA" TargetMode="External"/><Relationship Id="rId64" Type="http://schemas.openxmlformats.org/officeDocument/2006/relationships/hyperlink" Target="https://drive.google.com/uc?id=1LPgH6UL8bQf9gNrRe7uOfOdMCj2WTCX0" TargetMode="External"/><Relationship Id="rId63" Type="http://schemas.openxmlformats.org/officeDocument/2006/relationships/hyperlink" Target="https://tempfile.aiquickdraw.com/images/chatgpt/file_000000009efc720c8c099ceed7a9b99f.png" TargetMode="External"/><Relationship Id="rId22" Type="http://schemas.openxmlformats.org/officeDocument/2006/relationships/hyperlink" Target="https://tempfile.redpandaai.co/kieai/11402406/athena-refs/style_ref.jpg" TargetMode="External"/><Relationship Id="rId66" Type="http://schemas.openxmlformats.org/officeDocument/2006/relationships/hyperlink" Target="https://tempfile.redpandaai.co/kieai/11402406/athena-refs/style_ref.jpg" TargetMode="External"/><Relationship Id="rId21" Type="http://schemas.openxmlformats.org/officeDocument/2006/relationships/hyperlink" Target="https://res.cloudinary.com/a1irmvxv/image/upload/f_auto,q_auto/ChatGPT_Image_Jul_13_2026_02_32_35_PM_wx14ep" TargetMode="External"/><Relationship Id="rId65" Type="http://schemas.openxmlformats.org/officeDocument/2006/relationships/hyperlink" Target="https://res.cloudinary.com/a1irmvxv/image/upload/f_auto,q_auto/ChatGPT_Image_Jul_13_2026_02_32_35_PM_wx14ep" TargetMode="External"/><Relationship Id="rId24" Type="http://schemas.openxmlformats.org/officeDocument/2006/relationships/hyperlink" Target="https://drive.google.com/uc?id=1WC_fkf5LoF-1-3s6sPB48LVswkwD1OEl" TargetMode="External"/><Relationship Id="rId68" Type="http://schemas.openxmlformats.org/officeDocument/2006/relationships/hyperlink" Target="https://drive.google.com/uc?id=1M9asYKpO46bvcdqPMJjAgSp8LVbeRykh" TargetMode="External"/><Relationship Id="rId23" Type="http://schemas.openxmlformats.org/officeDocument/2006/relationships/hyperlink" Target="https://tempfile.aiquickdraw.com/images/chatgpt/file_0000000003c471f5a5d444f69b7db6fd.png" TargetMode="External"/><Relationship Id="rId67" Type="http://schemas.openxmlformats.org/officeDocument/2006/relationships/hyperlink" Target="https://tempfile.aiquickdraw.com/images/chatgpt/file_0000000026c871fd9112c0a0f8f6bd03.png" TargetMode="External"/><Relationship Id="rId60" Type="http://schemas.openxmlformats.org/officeDocument/2006/relationships/hyperlink" Target="https://drive.google.com/uc?id=17fXMbj_BmjDf6pIYhRaHoZJt5mA2nmC1" TargetMode="External"/><Relationship Id="rId26" Type="http://schemas.openxmlformats.org/officeDocument/2006/relationships/hyperlink" Target="https://tempfile.redpandaai.co/kieai/11402406/athena-refs/style_ref.jpg" TargetMode="External"/><Relationship Id="rId25" Type="http://schemas.openxmlformats.org/officeDocument/2006/relationships/hyperlink" Target="https://res.cloudinary.com/a1irmvxv/image/upload/f_auto,q_auto/ChatGPT_Image_Jul_13_2026_02_32_35_PM_wx14ep" TargetMode="External"/><Relationship Id="rId69" Type="http://schemas.openxmlformats.org/officeDocument/2006/relationships/hyperlink" Target="https://res.cloudinary.com/a1irmvxv/image/upload/f_auto,q_auto/ChatGPT_Image_Jul_13_2026_02_32_35_PM_wx14ep" TargetMode="External"/><Relationship Id="rId28" Type="http://schemas.openxmlformats.org/officeDocument/2006/relationships/hyperlink" Target="https://drive.google.com/uc?id=1RoYL0-FdR0okT1CV-_ZE3797vGqHqETV" TargetMode="External"/><Relationship Id="rId27" Type="http://schemas.openxmlformats.org/officeDocument/2006/relationships/hyperlink" Target="https://tempfile.aiquickdraw.com/images/chatgpt/file_000000002168722fb2d34681fd0ceb6e.png" TargetMode="External"/><Relationship Id="rId29" Type="http://schemas.openxmlformats.org/officeDocument/2006/relationships/hyperlink" Target="https://res.cloudinary.com/a1irmvxv/image/upload/f_auto,q_auto/ChatGPT_Image_Jul_13_2026_02_32_35_PM_wx14ep" TargetMode="External"/><Relationship Id="rId51" Type="http://schemas.openxmlformats.org/officeDocument/2006/relationships/hyperlink" Target="https://tempfile.aiquickdraw.com/images/chatgpt/file_00000000ee4071f59e9c69d9248a8f1a.png" TargetMode="External"/><Relationship Id="rId50" Type="http://schemas.openxmlformats.org/officeDocument/2006/relationships/hyperlink" Target="https://tempfile.redpandaai.co/kieai/11402406/athena-refs/style_ref.jpg" TargetMode="External"/><Relationship Id="rId53" Type="http://schemas.openxmlformats.org/officeDocument/2006/relationships/hyperlink" Target="https://res.cloudinary.com/a1irmvxv/image/upload/f_auto,q_auto/ChatGPT_Image_Jul_13_2026_02_32_35_PM_wx14ep" TargetMode="External"/><Relationship Id="rId52" Type="http://schemas.openxmlformats.org/officeDocument/2006/relationships/hyperlink" Target="https://drive.google.com/uc?id=11orFzPxTHpyaaZZczJJRK1hAtQt7cb8x" TargetMode="External"/><Relationship Id="rId11" Type="http://schemas.openxmlformats.org/officeDocument/2006/relationships/hyperlink" Target="https://tempfile.aiquickdraw.com/images/chatgpt/file_00000000681c722f89f9b076775880eb.png" TargetMode="External"/><Relationship Id="rId55" Type="http://schemas.openxmlformats.org/officeDocument/2006/relationships/hyperlink" Target="https://tempfile.aiquickdraw.com/images/chatgpt/file_00000000f4d471fd9f0c87a5a530ca8e.png" TargetMode="External"/><Relationship Id="rId10" Type="http://schemas.openxmlformats.org/officeDocument/2006/relationships/hyperlink" Target="https://tempfile.redpandaai.co/kieai/11402406/athena-refs/style_ref.jpg" TargetMode="External"/><Relationship Id="rId54" Type="http://schemas.openxmlformats.org/officeDocument/2006/relationships/hyperlink" Target="https://tempfile.redpandaai.co/kieai/11402406/athena-refs/style_ref.jpg" TargetMode="External"/><Relationship Id="rId13" Type="http://schemas.openxmlformats.org/officeDocument/2006/relationships/hyperlink" Target="https://res.cloudinary.com/a1irmvxv/image/upload/f_auto,q_auto/ChatGPT_Image_Jun_24_2026_02_26_06_PM_x1isth" TargetMode="External"/><Relationship Id="rId57" Type="http://schemas.openxmlformats.org/officeDocument/2006/relationships/hyperlink" Target="https://res.cloudinary.com/a1irmvxv/image/upload/f_auto,q_auto/ChatGPT_Image_Jul_13_2026_02_32_35_PM_wx14ep" TargetMode="External"/><Relationship Id="rId12" Type="http://schemas.openxmlformats.org/officeDocument/2006/relationships/hyperlink" Target="https://drive.google.com/uc?id=1T00PbEsncvm7Ib3hwRopTsTVAoE28IeH" TargetMode="External"/><Relationship Id="rId56" Type="http://schemas.openxmlformats.org/officeDocument/2006/relationships/hyperlink" Target="https://drive.google.com/uc?id=1a-iX9Gd78mBH4NRLoUtncFTcj0Ts8eIB" TargetMode="External"/><Relationship Id="rId15" Type="http://schemas.openxmlformats.org/officeDocument/2006/relationships/hyperlink" Target="https://tempfile.aiquickdraw.com/images/chatgpt/file_00000000d8a8720c87478f972b58ae3e.png" TargetMode="External"/><Relationship Id="rId59" Type="http://schemas.openxmlformats.org/officeDocument/2006/relationships/hyperlink" Target="https://tempfile.aiquickdraw.com/images/chatgpt/file_00000000b8e871fd97834e4739db4425.png" TargetMode="External"/><Relationship Id="rId14" Type="http://schemas.openxmlformats.org/officeDocument/2006/relationships/hyperlink" Target="https://tempfile.redpandaai.co/kieai/11402406/athena-refs/style_ref.jpg" TargetMode="External"/><Relationship Id="rId58" Type="http://schemas.openxmlformats.org/officeDocument/2006/relationships/hyperlink" Target="https://tempfile.redpandaai.co/kieai/11402406/athena-refs/style_ref.jpg" TargetMode="External"/><Relationship Id="rId17" Type="http://schemas.openxmlformats.org/officeDocument/2006/relationships/hyperlink" Target="https://res.cloudinary.com/a1irmvxv/image/upload/f_auto,q_auto/ChatGPT_Image_Jun_24_2026_02_26_06_PM_x1isth" TargetMode="External"/><Relationship Id="rId16" Type="http://schemas.openxmlformats.org/officeDocument/2006/relationships/hyperlink" Target="https://drive.google.com/uc?id=1986uKB8ne4rTP2ET6PU4GClKqpOv7qZ4" TargetMode="External"/><Relationship Id="rId19" Type="http://schemas.openxmlformats.org/officeDocument/2006/relationships/hyperlink" Target="https://tempfile.aiquickdraw.com/images/chatgpt/file_0000000073d4720cada87dd2ab4ea2be.png" TargetMode="External"/><Relationship Id="rId18" Type="http://schemas.openxmlformats.org/officeDocument/2006/relationships/hyperlink" Target="https://tempfile.redpandaai.co/kieai/11402406/athena-refs/style_ref.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t="s">
        <v>4</v>
      </c>
      <c r="B2" s="1" t="s">
        <v>5</v>
      </c>
      <c r="C2" s="2" t="s">
        <v>6</v>
      </c>
      <c r="D2" s="2" t="s">
        <v>6</v>
      </c>
    </row>
    <row r="3">
      <c r="A3" s="1" t="s">
        <v>7</v>
      </c>
      <c r="B3" s="1" t="s">
        <v>8</v>
      </c>
      <c r="C3" s="2" t="s">
        <v>9</v>
      </c>
      <c r="D3" s="2" t="s">
        <v>9</v>
      </c>
    </row>
    <row r="4">
      <c r="A4" s="1" t="s">
        <v>10</v>
      </c>
      <c r="B4" s="1" t="s">
        <v>11</v>
      </c>
      <c r="C4" s="2" t="s">
        <v>12</v>
      </c>
      <c r="D4" s="2" t="s">
        <v>12</v>
      </c>
    </row>
    <row r="5">
      <c r="A5" s="1" t="s">
        <v>13</v>
      </c>
      <c r="B5" s="1" t="s">
        <v>14</v>
      </c>
      <c r="C5" s="2" t="s">
        <v>15</v>
      </c>
      <c r="D5" s="2" t="s">
        <v>15</v>
      </c>
    </row>
    <row r="6">
      <c r="A6" s="1" t="s">
        <v>16</v>
      </c>
      <c r="B6" s="1" t="s">
        <v>17</v>
      </c>
      <c r="C6" s="2" t="s">
        <v>18</v>
      </c>
      <c r="D6" s="2" t="s">
        <v>18</v>
      </c>
    </row>
  </sheetData>
  <hyperlinks>
    <hyperlink r:id="rId1" ref="C2"/>
    <hyperlink r:id="rId2" ref="D2"/>
    <hyperlink r:id="rId3" ref="C3"/>
    <hyperlink r:id="rId4" ref="D3"/>
    <hyperlink r:id="rId5" ref="C4"/>
    <hyperlink r:id="rId6" ref="D4"/>
    <hyperlink r:id="rId7" ref="C5"/>
    <hyperlink r:id="rId8" ref="D5"/>
    <hyperlink r:id="rId9" ref="C6"/>
    <hyperlink r:id="rId10" ref="D6"/>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19</v>
      </c>
      <c r="B1" s="1" t="s">
        <v>0</v>
      </c>
      <c r="C1" s="1" t="s">
        <v>20</v>
      </c>
      <c r="D1" s="1" t="s">
        <v>21</v>
      </c>
      <c r="E1" s="1" t="s">
        <v>22</v>
      </c>
      <c r="F1" s="1" t="s">
        <v>23</v>
      </c>
      <c r="G1" s="1" t="s">
        <v>24</v>
      </c>
      <c r="H1" s="1" t="s">
        <v>25</v>
      </c>
      <c r="I1" s="1" t="s">
        <v>26</v>
      </c>
      <c r="J1" s="1" t="s">
        <v>27</v>
      </c>
      <c r="K1" s="1" t="s">
        <v>3</v>
      </c>
      <c r="L1" s="1" t="s">
        <v>28</v>
      </c>
      <c r="M1" s="1" t="s">
        <v>29</v>
      </c>
      <c r="N1" s="1" t="s">
        <v>30</v>
      </c>
      <c r="O1" s="1" t="s">
        <v>31</v>
      </c>
      <c r="P1" s="1" t="s">
        <v>32</v>
      </c>
      <c r="Q1" s="1" t="s">
        <v>33</v>
      </c>
      <c r="R1" s="1" t="s">
        <v>34</v>
      </c>
      <c r="S1" s="1" t="s">
        <v>35</v>
      </c>
      <c r="T1" s="1" t="s">
        <v>36</v>
      </c>
      <c r="U1" s="1" t="s">
        <v>37</v>
      </c>
      <c r="V1" s="1" t="s">
        <v>38</v>
      </c>
      <c r="W1" s="1" t="s">
        <v>1</v>
      </c>
      <c r="X1" s="1" t="s">
        <v>39</v>
      </c>
    </row>
    <row r="2">
      <c r="B2" s="1" t="s">
        <v>4</v>
      </c>
      <c r="C2" s="1" t="s">
        <v>40</v>
      </c>
      <c r="D2" s="1" t="s">
        <v>41</v>
      </c>
      <c r="E2" s="1" t="s">
        <v>42</v>
      </c>
      <c r="F2" s="1" t="b">
        <v>1</v>
      </c>
      <c r="G2" s="1" t="s">
        <v>43</v>
      </c>
      <c r="H2" s="1" t="s">
        <v>44</v>
      </c>
    </row>
    <row r="3">
      <c r="B3" s="1" t="s">
        <v>4</v>
      </c>
      <c r="C3" s="1" t="s">
        <v>45</v>
      </c>
      <c r="D3" s="1" t="s">
        <v>46</v>
      </c>
      <c r="E3" s="1" t="s">
        <v>47</v>
      </c>
      <c r="F3" s="1" t="b">
        <v>0</v>
      </c>
      <c r="G3" s="1" t="s">
        <v>48</v>
      </c>
      <c r="H3" s="1" t="s">
        <v>49</v>
      </c>
    </row>
    <row r="4">
      <c r="B4" s="1" t="s">
        <v>4</v>
      </c>
      <c r="C4" s="1" t="s">
        <v>50</v>
      </c>
      <c r="D4" s="1" t="s">
        <v>51</v>
      </c>
      <c r="E4" s="1" t="s">
        <v>52</v>
      </c>
      <c r="F4" s="1" t="b">
        <v>0</v>
      </c>
      <c r="G4" s="1" t="s">
        <v>48</v>
      </c>
      <c r="H4" s="1" t="s">
        <v>53</v>
      </c>
    </row>
    <row r="5">
      <c r="B5" s="1" t="s">
        <v>16</v>
      </c>
      <c r="C5" s="1" t="s">
        <v>54</v>
      </c>
      <c r="D5" s="1" t="s">
        <v>55</v>
      </c>
      <c r="E5" s="1" t="s">
        <v>56</v>
      </c>
      <c r="F5" s="1" t="b">
        <v>1</v>
      </c>
      <c r="G5" s="1" t="s">
        <v>43</v>
      </c>
      <c r="H5" s="1" t="s">
        <v>57</v>
      </c>
    </row>
    <row r="6">
      <c r="B6" s="1" t="s">
        <v>16</v>
      </c>
      <c r="C6" s="1" t="s">
        <v>58</v>
      </c>
      <c r="D6" s="1" t="s">
        <v>59</v>
      </c>
      <c r="E6" s="1" t="s">
        <v>60</v>
      </c>
      <c r="F6" s="1" t="b">
        <v>1</v>
      </c>
      <c r="G6" s="1" t="s">
        <v>43</v>
      </c>
      <c r="H6" s="1" t="s">
        <v>61</v>
      </c>
    </row>
    <row r="7">
      <c r="B7" s="1" t="s">
        <v>13</v>
      </c>
      <c r="C7" s="1" t="s">
        <v>62</v>
      </c>
      <c r="D7" s="1" t="s">
        <v>63</v>
      </c>
      <c r="E7" s="1" t="s">
        <v>64</v>
      </c>
      <c r="F7" s="3" t="b">
        <v>0</v>
      </c>
      <c r="G7" s="1" t="s">
        <v>48</v>
      </c>
      <c r="H7" s="1" t="s">
        <v>65</v>
      </c>
    </row>
    <row r="8">
      <c r="B8" s="1" t="s">
        <v>13</v>
      </c>
      <c r="C8" s="1" t="s">
        <v>66</v>
      </c>
      <c r="D8" s="1" t="s">
        <v>67</v>
      </c>
      <c r="E8" s="1" t="s">
        <v>68</v>
      </c>
      <c r="F8" s="3" t="b">
        <v>0</v>
      </c>
      <c r="G8" s="1" t="s">
        <v>48</v>
      </c>
      <c r="H8" s="1" t="s">
        <v>69</v>
      </c>
    </row>
    <row r="9">
      <c r="B9" s="1" t="s">
        <v>13</v>
      </c>
      <c r="C9" s="1" t="s">
        <v>70</v>
      </c>
      <c r="D9" s="1" t="s">
        <v>71</v>
      </c>
      <c r="E9" s="1" t="s">
        <v>72</v>
      </c>
      <c r="F9" s="3" t="b">
        <v>0</v>
      </c>
      <c r="G9" s="1" t="s">
        <v>48</v>
      </c>
      <c r="H9" s="1" t="s">
        <v>73</v>
      </c>
    </row>
    <row r="10">
      <c r="A10" s="1" t="s">
        <v>74</v>
      </c>
      <c r="B10" s="1" t="s">
        <v>10</v>
      </c>
      <c r="C10" s="1" t="s">
        <v>75</v>
      </c>
      <c r="D10" s="1" t="s">
        <v>76</v>
      </c>
      <c r="E10" s="1" t="s">
        <v>77</v>
      </c>
      <c r="F10" s="1" t="b">
        <v>1</v>
      </c>
      <c r="G10" s="1" t="s">
        <v>43</v>
      </c>
      <c r="H10" s="1" t="s">
        <v>78</v>
      </c>
      <c r="I10" s="1" t="s">
        <v>79</v>
      </c>
      <c r="J10" s="1" t="s">
        <v>76</v>
      </c>
      <c r="K10" s="2" t="s">
        <v>12</v>
      </c>
      <c r="L10" s="2" t="s">
        <v>80</v>
      </c>
      <c r="M10" s="1" t="s">
        <v>81</v>
      </c>
      <c r="N10" s="1" t="s">
        <v>82</v>
      </c>
      <c r="O10" s="3">
        <v>2.0</v>
      </c>
      <c r="P10" s="1" t="s">
        <v>83</v>
      </c>
      <c r="Q10" s="2" t="s">
        <v>84</v>
      </c>
      <c r="R10" s="1" t="s">
        <v>85</v>
      </c>
      <c r="S10" s="1" t="s">
        <v>86</v>
      </c>
      <c r="T10" s="2" t="s">
        <v>87</v>
      </c>
      <c r="U10" s="4" t="str">
        <f>IMAGE("https://drive.google.com/uc?id=1986uKB8ne4rTP2ET6PU4GClKqpOv7qZ4")</f>
        <v/>
      </c>
      <c r="V10" s="1" t="s">
        <v>88</v>
      </c>
    </row>
    <row r="11">
      <c r="A11" s="1" t="s">
        <v>89</v>
      </c>
      <c r="B11" s="1" t="s">
        <v>10</v>
      </c>
      <c r="C11" s="1" t="s">
        <v>90</v>
      </c>
      <c r="D11" s="1" t="s">
        <v>91</v>
      </c>
      <c r="E11" s="1" t="s">
        <v>92</v>
      </c>
      <c r="F11" s="3" t="b">
        <v>0</v>
      </c>
      <c r="G11" s="1" t="s">
        <v>48</v>
      </c>
      <c r="H11" s="1" t="s">
        <v>93</v>
      </c>
    </row>
    <row r="12">
      <c r="A12" s="1" t="s">
        <v>94</v>
      </c>
      <c r="B12" s="1" t="s">
        <v>10</v>
      </c>
      <c r="C12" s="1" t="s">
        <v>95</v>
      </c>
      <c r="D12" s="1" t="s">
        <v>96</v>
      </c>
      <c r="E12" s="5" t="s">
        <v>97</v>
      </c>
      <c r="F12" s="3" t="b">
        <v>0</v>
      </c>
      <c r="G12" s="1" t="s">
        <v>48</v>
      </c>
      <c r="H12" s="1" t="s">
        <v>98</v>
      </c>
    </row>
    <row r="13">
      <c r="F13" s="4" t="b">
        <v>0</v>
      </c>
    </row>
    <row r="14">
      <c r="F14" s="4" t="b">
        <v>0</v>
      </c>
    </row>
    <row r="15">
      <c r="F15" s="4" t="b">
        <v>0</v>
      </c>
    </row>
    <row r="16">
      <c r="F16" s="4" t="b">
        <v>0</v>
      </c>
    </row>
    <row r="17">
      <c r="F17" s="4" t="b">
        <v>0</v>
      </c>
    </row>
    <row r="18">
      <c r="F18" s="4" t="b">
        <v>0</v>
      </c>
    </row>
    <row r="19">
      <c r="C19" s="1" t="s">
        <v>99</v>
      </c>
      <c r="F19" s="4" t="b">
        <v>0</v>
      </c>
    </row>
    <row r="20">
      <c r="A20" s="1" t="s">
        <v>100</v>
      </c>
      <c r="B20" s="1" t="s">
        <v>16</v>
      </c>
      <c r="C20" s="1" t="s">
        <v>101</v>
      </c>
      <c r="E20" s="1" t="s">
        <v>102</v>
      </c>
      <c r="F20" s="1" t="b">
        <v>1</v>
      </c>
      <c r="G20" s="1" t="s">
        <v>43</v>
      </c>
      <c r="H20" s="1" t="s">
        <v>103</v>
      </c>
      <c r="I20" s="1" t="s">
        <v>79</v>
      </c>
      <c r="J20" s="1" t="s">
        <v>101</v>
      </c>
      <c r="K20" s="2" t="s">
        <v>18</v>
      </c>
      <c r="L20" s="2" t="s">
        <v>80</v>
      </c>
      <c r="M20" s="1" t="s">
        <v>104</v>
      </c>
      <c r="N20" s="1" t="s">
        <v>105</v>
      </c>
      <c r="O20" s="3">
        <v>8.0</v>
      </c>
      <c r="P20" s="1" t="s">
        <v>83</v>
      </c>
      <c r="Q20" s="2" t="s">
        <v>106</v>
      </c>
      <c r="R20" s="1" t="s">
        <v>85</v>
      </c>
      <c r="S20" s="1" t="s">
        <v>107</v>
      </c>
      <c r="T20" s="2" t="s">
        <v>108</v>
      </c>
      <c r="U20" s="4" t="str">
        <f>IMAGE("https://drive.google.com/uc?id=1axzQogpet0OO1ucMNmyY927qLN5VCkrA")</f>
        <v/>
      </c>
      <c r="V20" s="1" t="s">
        <v>88</v>
      </c>
      <c r="W20" s="1" t="s">
        <v>17</v>
      </c>
      <c r="X20" s="1" t="s">
        <v>109</v>
      </c>
    </row>
    <row r="21">
      <c r="A21" s="1" t="s">
        <v>110</v>
      </c>
      <c r="B21" s="1" t="s">
        <v>16</v>
      </c>
      <c r="C21" s="1" t="s">
        <v>111</v>
      </c>
      <c r="E21" s="1" t="s">
        <v>112</v>
      </c>
      <c r="F21" s="1" t="b">
        <v>1</v>
      </c>
      <c r="G21" s="1" t="s">
        <v>43</v>
      </c>
      <c r="H21" s="1" t="s">
        <v>113</v>
      </c>
      <c r="I21" s="1" t="s">
        <v>79</v>
      </c>
      <c r="J21" s="1" t="s">
        <v>111</v>
      </c>
      <c r="K21" s="2" t="s">
        <v>18</v>
      </c>
      <c r="L21" s="2" t="s">
        <v>80</v>
      </c>
      <c r="M21" s="1" t="s">
        <v>114</v>
      </c>
      <c r="N21" s="1" t="s">
        <v>115</v>
      </c>
      <c r="O21" s="3">
        <v>3.0</v>
      </c>
      <c r="P21" s="1" t="s">
        <v>83</v>
      </c>
      <c r="Q21" s="2" t="s">
        <v>116</v>
      </c>
      <c r="R21" s="1" t="s">
        <v>85</v>
      </c>
      <c r="S21" s="1" t="s">
        <v>117</v>
      </c>
      <c r="T21" s="2" t="s">
        <v>118</v>
      </c>
      <c r="U21" s="4" t="str">
        <f>IMAGE("https://drive.google.com/uc?id=1WC_fkf5LoF-1-3s6sPB48LVswkwD1OEl")</f>
        <v/>
      </c>
      <c r="V21" s="1" t="s">
        <v>88</v>
      </c>
      <c r="W21" s="1" t="s">
        <v>17</v>
      </c>
      <c r="X21" s="1" t="s">
        <v>119</v>
      </c>
    </row>
    <row r="22">
      <c r="A22" s="1" t="s">
        <v>120</v>
      </c>
      <c r="B22" s="1" t="s">
        <v>16</v>
      </c>
      <c r="C22" s="1" t="s">
        <v>121</v>
      </c>
      <c r="E22" s="1" t="s">
        <v>122</v>
      </c>
      <c r="F22" s="1" t="b">
        <v>1</v>
      </c>
      <c r="G22" s="1" t="s">
        <v>43</v>
      </c>
      <c r="H22" s="1" t="s">
        <v>123</v>
      </c>
      <c r="T22" s="2" t="s">
        <v>124</v>
      </c>
      <c r="U22" s="4" t="str">
        <f>IMAGE("https://drive.google.com/uc?id=1RoYL0-FdR0okT1CV-_ZE3797vGqHqETV")</f>
        <v/>
      </c>
    </row>
    <row r="23">
      <c r="A23" s="1" t="s">
        <v>125</v>
      </c>
      <c r="B23" s="1" t="s">
        <v>16</v>
      </c>
      <c r="C23" s="1" t="s">
        <v>126</v>
      </c>
      <c r="E23" s="1" t="s">
        <v>127</v>
      </c>
      <c r="F23" s="1" t="b">
        <v>1</v>
      </c>
      <c r="G23" s="1" t="s">
        <v>48</v>
      </c>
      <c r="H23" s="1" t="s">
        <v>128</v>
      </c>
      <c r="I23" s="1" t="s">
        <v>79</v>
      </c>
      <c r="J23" s="1" t="s">
        <v>126</v>
      </c>
      <c r="K23" s="2" t="s">
        <v>18</v>
      </c>
      <c r="L23" s="2" t="s">
        <v>80</v>
      </c>
      <c r="M23" s="1" t="s">
        <v>129</v>
      </c>
      <c r="N23" s="1" t="s">
        <v>130</v>
      </c>
      <c r="O23" s="3">
        <v>6.0</v>
      </c>
      <c r="P23" s="1" t="s">
        <v>83</v>
      </c>
      <c r="Q23" s="2" t="s">
        <v>131</v>
      </c>
      <c r="R23" s="1" t="s">
        <v>85</v>
      </c>
      <c r="S23" s="1" t="s">
        <v>132</v>
      </c>
      <c r="T23" s="2" t="s">
        <v>133</v>
      </c>
      <c r="U23" s="4" t="str">
        <f>IMAGE("https://drive.google.com/uc?id=1J2kf8Cb7CEpYXJoH3BS_7VnM5zVRPdq_")</f>
        <v/>
      </c>
      <c r="V23" s="1" t="s">
        <v>88</v>
      </c>
      <c r="W23" s="1" t="s">
        <v>17</v>
      </c>
      <c r="X23" s="1" t="s">
        <v>134</v>
      </c>
    </row>
    <row r="24">
      <c r="A24" s="1" t="s">
        <v>135</v>
      </c>
      <c r="B24" s="1" t="s">
        <v>16</v>
      </c>
      <c r="C24" s="1" t="s">
        <v>136</v>
      </c>
      <c r="E24" s="1" t="s">
        <v>137</v>
      </c>
      <c r="F24" s="1" t="b">
        <v>1</v>
      </c>
      <c r="G24" s="1" t="s">
        <v>48</v>
      </c>
      <c r="H24" s="1" t="s">
        <v>48</v>
      </c>
      <c r="I24" s="1" t="s">
        <v>79</v>
      </c>
      <c r="J24" s="1" t="s">
        <v>136</v>
      </c>
      <c r="K24" s="2" t="s">
        <v>18</v>
      </c>
      <c r="L24" s="2" t="s">
        <v>80</v>
      </c>
      <c r="M24" s="1" t="s">
        <v>138</v>
      </c>
      <c r="N24" s="1" t="s">
        <v>139</v>
      </c>
      <c r="O24" s="3">
        <v>5.0</v>
      </c>
      <c r="P24" s="1" t="s">
        <v>83</v>
      </c>
      <c r="Q24" s="2" t="s">
        <v>140</v>
      </c>
      <c r="R24" s="1" t="s">
        <v>85</v>
      </c>
      <c r="S24" s="1" t="s">
        <v>141</v>
      </c>
      <c r="T24" s="2" t="s">
        <v>142</v>
      </c>
      <c r="U24" s="4" t="str">
        <f>IMAGE("https://drive.google.com/uc?id=1Y6NRtGDmtQIUpTCDgqU5pd78VkCFNVZ0")</f>
        <v/>
      </c>
      <c r="V24" s="1" t="s">
        <v>88</v>
      </c>
      <c r="W24" s="1" t="s">
        <v>17</v>
      </c>
      <c r="X24" s="1" t="s">
        <v>143</v>
      </c>
    </row>
    <row r="25">
      <c r="A25" s="1" t="s">
        <v>144</v>
      </c>
      <c r="B25" s="1" t="s">
        <v>16</v>
      </c>
      <c r="C25" s="1" t="s">
        <v>145</v>
      </c>
      <c r="E25" s="1" t="s">
        <v>146</v>
      </c>
      <c r="F25" s="1" t="b">
        <v>1</v>
      </c>
      <c r="G25" s="1" t="s">
        <v>48</v>
      </c>
      <c r="H25" s="1" t="s">
        <v>147</v>
      </c>
      <c r="I25" s="1" t="s">
        <v>79</v>
      </c>
      <c r="J25" s="1" t="s">
        <v>145</v>
      </c>
      <c r="K25" s="2" t="s">
        <v>18</v>
      </c>
      <c r="L25" s="2" t="s">
        <v>80</v>
      </c>
      <c r="M25" s="1" t="s">
        <v>148</v>
      </c>
      <c r="N25" s="1" t="s">
        <v>149</v>
      </c>
      <c r="O25" s="3">
        <v>4.0</v>
      </c>
      <c r="P25" s="1" t="s">
        <v>83</v>
      </c>
      <c r="Q25" s="2" t="s">
        <v>150</v>
      </c>
      <c r="R25" s="1" t="s">
        <v>85</v>
      </c>
      <c r="S25" s="1" t="s">
        <v>151</v>
      </c>
      <c r="T25" s="2" t="s">
        <v>152</v>
      </c>
      <c r="U25" s="4" t="str">
        <f>IMAGE("https://drive.google.com/uc?id=1A5L4Yt5tpuT0AXDZXbMQwDaAyOuV3qaQ")</f>
        <v/>
      </c>
      <c r="V25" s="1" t="s">
        <v>88</v>
      </c>
      <c r="W25" s="1" t="s">
        <v>17</v>
      </c>
      <c r="X25" s="1" t="s">
        <v>153</v>
      </c>
    </row>
    <row r="26">
      <c r="A26" s="1" t="s">
        <v>154</v>
      </c>
      <c r="B26" s="1" t="s">
        <v>16</v>
      </c>
      <c r="C26" s="1" t="s">
        <v>155</v>
      </c>
      <c r="E26" s="1" t="s">
        <v>156</v>
      </c>
      <c r="F26" s="1" t="b">
        <v>1</v>
      </c>
      <c r="G26" s="1" t="s">
        <v>48</v>
      </c>
      <c r="H26" s="1" t="s">
        <v>157</v>
      </c>
      <c r="I26" s="1" t="s">
        <v>79</v>
      </c>
      <c r="J26" s="1" t="s">
        <v>155</v>
      </c>
      <c r="K26" s="2" t="s">
        <v>18</v>
      </c>
      <c r="L26" s="2" t="s">
        <v>80</v>
      </c>
      <c r="M26" s="1" t="s">
        <v>158</v>
      </c>
      <c r="N26" s="1" t="s">
        <v>159</v>
      </c>
      <c r="O26" s="3">
        <v>6.0</v>
      </c>
      <c r="P26" s="1" t="s">
        <v>83</v>
      </c>
      <c r="Q26" s="2" t="s">
        <v>160</v>
      </c>
      <c r="R26" s="1" t="s">
        <v>85</v>
      </c>
      <c r="S26" s="1" t="s">
        <v>161</v>
      </c>
      <c r="T26" s="2" t="s">
        <v>162</v>
      </c>
      <c r="U26" s="4" t="str">
        <f>IMAGE("https://drive.google.com/uc?id=109gBhPKLZ7CUpSPuki-t71akx5xBVhjw")</f>
        <v/>
      </c>
      <c r="V26" s="1" t="s">
        <v>88</v>
      </c>
      <c r="W26" s="1" t="s">
        <v>17</v>
      </c>
      <c r="X26" s="1" t="s">
        <v>163</v>
      </c>
    </row>
    <row r="27">
      <c r="A27" s="1" t="s">
        <v>164</v>
      </c>
      <c r="B27" s="1" t="s">
        <v>16</v>
      </c>
      <c r="C27" s="1" t="s">
        <v>165</v>
      </c>
      <c r="E27" s="1" t="s">
        <v>166</v>
      </c>
      <c r="F27" s="1" t="b">
        <v>1</v>
      </c>
      <c r="G27" s="1" t="s">
        <v>48</v>
      </c>
      <c r="H27" s="1" t="s">
        <v>167</v>
      </c>
      <c r="I27" s="1" t="s">
        <v>79</v>
      </c>
      <c r="J27" s="1" t="s">
        <v>165</v>
      </c>
      <c r="K27" s="2" t="s">
        <v>18</v>
      </c>
      <c r="L27" s="2" t="s">
        <v>80</v>
      </c>
      <c r="M27" s="1" t="s">
        <v>168</v>
      </c>
      <c r="N27" s="1" t="s">
        <v>169</v>
      </c>
      <c r="O27" s="3">
        <v>3.0</v>
      </c>
      <c r="P27" s="1" t="s">
        <v>83</v>
      </c>
      <c r="Q27" s="2" t="s">
        <v>170</v>
      </c>
      <c r="R27" s="1" t="s">
        <v>85</v>
      </c>
      <c r="S27" s="1" t="s">
        <v>171</v>
      </c>
      <c r="T27" s="2" t="s">
        <v>172</v>
      </c>
      <c r="U27" s="4" t="str">
        <f>IMAGE("https://drive.google.com/uc?id=1qpnNFRdxDT-5fzEqloOO-FK9a0GhxtA1")</f>
        <v/>
      </c>
      <c r="V27" s="1" t="s">
        <v>88</v>
      </c>
      <c r="W27" s="1" t="s">
        <v>17</v>
      </c>
      <c r="X27" s="1" t="s">
        <v>173</v>
      </c>
    </row>
    <row r="28">
      <c r="A28" s="1" t="s">
        <v>174</v>
      </c>
      <c r="B28" s="1" t="s">
        <v>16</v>
      </c>
      <c r="C28" s="1" t="s">
        <v>175</v>
      </c>
      <c r="E28" s="1" t="s">
        <v>176</v>
      </c>
      <c r="F28" s="1" t="b">
        <v>1</v>
      </c>
      <c r="G28" s="1" t="s">
        <v>48</v>
      </c>
      <c r="H28" s="1" t="s">
        <v>177</v>
      </c>
      <c r="I28" s="1" t="s">
        <v>79</v>
      </c>
      <c r="J28" s="1" t="s">
        <v>175</v>
      </c>
      <c r="K28" s="2" t="s">
        <v>18</v>
      </c>
      <c r="L28" s="2" t="s">
        <v>80</v>
      </c>
      <c r="M28" s="1" t="s">
        <v>178</v>
      </c>
      <c r="N28" s="1" t="s">
        <v>179</v>
      </c>
      <c r="O28" s="3">
        <v>3.0</v>
      </c>
      <c r="P28" s="1" t="s">
        <v>83</v>
      </c>
      <c r="Q28" s="2" t="s">
        <v>180</v>
      </c>
      <c r="R28" s="1" t="s">
        <v>85</v>
      </c>
      <c r="S28" s="1" t="s">
        <v>181</v>
      </c>
      <c r="T28" s="2" t="s">
        <v>182</v>
      </c>
      <c r="U28" s="4" t="str">
        <f>IMAGE("https://drive.google.com/uc?id=11orFzPxTHpyaaZZczJJRK1hAtQt7cb8x")</f>
        <v/>
      </c>
      <c r="V28" s="1" t="s">
        <v>88</v>
      </c>
      <c r="W28" s="1" t="s">
        <v>17</v>
      </c>
      <c r="X28" s="1" t="s">
        <v>183</v>
      </c>
    </row>
    <row r="29">
      <c r="A29" s="1" t="s">
        <v>184</v>
      </c>
      <c r="B29" s="1" t="s">
        <v>16</v>
      </c>
      <c r="C29" s="1" t="s">
        <v>185</v>
      </c>
      <c r="E29" s="1" t="s">
        <v>186</v>
      </c>
      <c r="F29" s="1" t="b">
        <v>1</v>
      </c>
      <c r="G29" s="1" t="s">
        <v>48</v>
      </c>
      <c r="H29" s="1" t="s">
        <v>187</v>
      </c>
      <c r="I29" s="1" t="s">
        <v>79</v>
      </c>
      <c r="J29" s="1" t="s">
        <v>185</v>
      </c>
      <c r="K29" s="2" t="s">
        <v>18</v>
      </c>
      <c r="L29" s="2" t="s">
        <v>80</v>
      </c>
      <c r="M29" s="1" t="s">
        <v>188</v>
      </c>
      <c r="N29" s="1" t="s">
        <v>189</v>
      </c>
      <c r="O29" s="3">
        <v>3.0</v>
      </c>
      <c r="P29" s="1" t="s">
        <v>83</v>
      </c>
      <c r="Q29" s="2" t="s">
        <v>190</v>
      </c>
      <c r="R29" s="1" t="s">
        <v>85</v>
      </c>
      <c r="S29" s="1" t="s">
        <v>191</v>
      </c>
      <c r="T29" s="2" t="s">
        <v>192</v>
      </c>
      <c r="U29" s="4" t="str">
        <f>IMAGE("https://drive.google.com/uc?id=1a-iX9Gd78mBH4NRLoUtncFTcj0Ts8eIB")</f>
        <v/>
      </c>
      <c r="V29" s="1" t="s">
        <v>88</v>
      </c>
      <c r="W29" s="1" t="s">
        <v>17</v>
      </c>
      <c r="X29" s="1" t="s">
        <v>193</v>
      </c>
    </row>
    <row r="30">
      <c r="A30" s="1" t="s">
        <v>194</v>
      </c>
      <c r="B30" s="1" t="s">
        <v>16</v>
      </c>
      <c r="C30" s="1" t="s">
        <v>195</v>
      </c>
      <c r="E30" s="1" t="s">
        <v>196</v>
      </c>
      <c r="F30" s="1" t="b">
        <v>1</v>
      </c>
      <c r="G30" s="1" t="s">
        <v>48</v>
      </c>
      <c r="H30" s="1" t="s">
        <v>197</v>
      </c>
      <c r="I30" s="1" t="s">
        <v>79</v>
      </c>
      <c r="J30" s="1" t="s">
        <v>195</v>
      </c>
      <c r="K30" s="2" t="s">
        <v>18</v>
      </c>
      <c r="L30" s="2" t="s">
        <v>80</v>
      </c>
      <c r="M30" s="1" t="s">
        <v>198</v>
      </c>
      <c r="N30" s="1" t="s">
        <v>199</v>
      </c>
      <c r="O30" s="3">
        <v>3.0</v>
      </c>
      <c r="P30" s="1" t="s">
        <v>83</v>
      </c>
      <c r="Q30" s="2" t="s">
        <v>200</v>
      </c>
      <c r="R30" s="1" t="s">
        <v>85</v>
      </c>
      <c r="S30" s="1" t="s">
        <v>201</v>
      </c>
      <c r="T30" s="2" t="s">
        <v>202</v>
      </c>
      <c r="U30" s="4" t="str">
        <f>IMAGE("https://drive.google.com/uc?id=17fXMbj_BmjDf6pIYhRaHoZJt5mA2nmC1")</f>
        <v/>
      </c>
      <c r="V30" s="1" t="s">
        <v>88</v>
      </c>
      <c r="W30" s="1" t="s">
        <v>17</v>
      </c>
      <c r="X30" s="1" t="s">
        <v>203</v>
      </c>
    </row>
    <row r="31">
      <c r="A31" s="1" t="s">
        <v>204</v>
      </c>
      <c r="B31" s="1" t="s">
        <v>16</v>
      </c>
      <c r="C31" s="1" t="s">
        <v>205</v>
      </c>
      <c r="E31" s="1" t="s">
        <v>206</v>
      </c>
      <c r="F31" s="1" t="b">
        <v>1</v>
      </c>
      <c r="G31" s="1" t="s">
        <v>48</v>
      </c>
      <c r="H31" s="1" t="s">
        <v>207</v>
      </c>
      <c r="I31" s="1" t="s">
        <v>79</v>
      </c>
      <c r="J31" s="1" t="s">
        <v>205</v>
      </c>
      <c r="K31" s="2" t="s">
        <v>18</v>
      </c>
      <c r="L31" s="2" t="s">
        <v>80</v>
      </c>
      <c r="M31" s="1" t="s">
        <v>208</v>
      </c>
      <c r="N31" s="1" t="s">
        <v>209</v>
      </c>
      <c r="O31" s="3">
        <v>6.0</v>
      </c>
      <c r="P31" s="1" t="s">
        <v>83</v>
      </c>
      <c r="Q31" s="2" t="s">
        <v>210</v>
      </c>
      <c r="R31" s="1" t="s">
        <v>85</v>
      </c>
      <c r="S31" s="1" t="s">
        <v>211</v>
      </c>
      <c r="T31" s="2" t="s">
        <v>212</v>
      </c>
      <c r="U31" s="4" t="str">
        <f>IMAGE("https://drive.google.com/uc?id=1LPgH6UL8bQf9gNrRe7uOfOdMCj2WTCX0")</f>
        <v/>
      </c>
      <c r="V31" s="1" t="s">
        <v>88</v>
      </c>
      <c r="W31" s="1" t="s">
        <v>17</v>
      </c>
      <c r="X31" s="1" t="s">
        <v>213</v>
      </c>
    </row>
    <row r="32">
      <c r="A32" s="1" t="s">
        <v>214</v>
      </c>
      <c r="B32" s="1" t="s">
        <v>16</v>
      </c>
      <c r="C32" s="1" t="s">
        <v>215</v>
      </c>
      <c r="E32" s="1" t="s">
        <v>216</v>
      </c>
      <c r="F32" s="1" t="b">
        <v>1</v>
      </c>
      <c r="G32" s="1" t="s">
        <v>48</v>
      </c>
      <c r="H32" s="1" t="s">
        <v>217</v>
      </c>
      <c r="I32" s="1" t="s">
        <v>79</v>
      </c>
      <c r="J32" s="1" t="s">
        <v>215</v>
      </c>
      <c r="K32" s="2" t="s">
        <v>18</v>
      </c>
      <c r="L32" s="2" t="s">
        <v>80</v>
      </c>
      <c r="M32" s="1" t="s">
        <v>218</v>
      </c>
      <c r="N32" s="1" t="s">
        <v>219</v>
      </c>
      <c r="O32" s="3">
        <v>3.0</v>
      </c>
      <c r="P32" s="1" t="s">
        <v>83</v>
      </c>
      <c r="Q32" s="2" t="s">
        <v>220</v>
      </c>
      <c r="R32" s="1" t="s">
        <v>85</v>
      </c>
      <c r="S32" s="1" t="s">
        <v>221</v>
      </c>
      <c r="T32" s="2" t="s">
        <v>222</v>
      </c>
      <c r="U32" s="4" t="str">
        <f>IMAGE("https://drive.google.com/uc?id=1M9asYKpO46bvcdqPMJjAgSp8LVbeRykh")</f>
        <v/>
      </c>
      <c r="V32" s="1" t="s">
        <v>88</v>
      </c>
      <c r="W32" s="1" t="s">
        <v>17</v>
      </c>
      <c r="X32" s="1" t="s">
        <v>223</v>
      </c>
    </row>
    <row r="33">
      <c r="A33" s="1" t="s">
        <v>224</v>
      </c>
      <c r="B33" s="1" t="s">
        <v>4</v>
      </c>
      <c r="C33" s="1" t="s">
        <v>225</v>
      </c>
      <c r="E33" s="1" t="s">
        <v>226</v>
      </c>
      <c r="F33" s="3" t="b">
        <v>0</v>
      </c>
      <c r="G33" s="1" t="s">
        <v>48</v>
      </c>
      <c r="H33" s="1" t="s">
        <v>227</v>
      </c>
    </row>
    <row r="34">
      <c r="A34" s="1" t="s">
        <v>228</v>
      </c>
      <c r="B34" s="1" t="s">
        <v>4</v>
      </c>
      <c r="C34" s="1" t="s">
        <v>229</v>
      </c>
      <c r="E34" s="1" t="s">
        <v>230</v>
      </c>
      <c r="F34" s="3" t="b">
        <v>0</v>
      </c>
      <c r="G34" s="1" t="s">
        <v>48</v>
      </c>
      <c r="H34" s="1" t="s">
        <v>231</v>
      </c>
    </row>
    <row r="35">
      <c r="A35" s="1" t="s">
        <v>232</v>
      </c>
      <c r="B35" s="1" t="s">
        <v>4</v>
      </c>
      <c r="C35" s="1" t="s">
        <v>233</v>
      </c>
      <c r="E35" s="1" t="s">
        <v>234</v>
      </c>
      <c r="F35" s="3" t="b">
        <v>0</v>
      </c>
      <c r="G35" s="1" t="s">
        <v>48</v>
      </c>
      <c r="H35" s="1" t="s">
        <v>235</v>
      </c>
    </row>
    <row r="36">
      <c r="A36" s="1" t="s">
        <v>236</v>
      </c>
      <c r="B36" s="1" t="s">
        <v>4</v>
      </c>
      <c r="C36" s="1" t="s">
        <v>237</v>
      </c>
      <c r="E36" s="1" t="s">
        <v>238</v>
      </c>
      <c r="F36" s="3" t="b">
        <v>0</v>
      </c>
      <c r="G36" s="1" t="s">
        <v>48</v>
      </c>
      <c r="H36" s="1" t="s">
        <v>239</v>
      </c>
    </row>
    <row r="37">
      <c r="A37" s="1" t="s">
        <v>240</v>
      </c>
      <c r="B37" s="1" t="s">
        <v>4</v>
      </c>
      <c r="C37" s="1" t="s">
        <v>241</v>
      </c>
      <c r="E37" s="1" t="s">
        <v>242</v>
      </c>
      <c r="F37" s="3" t="b">
        <v>0</v>
      </c>
      <c r="G37" s="1" t="s">
        <v>48</v>
      </c>
      <c r="H37" s="1" t="s">
        <v>243</v>
      </c>
    </row>
    <row r="38">
      <c r="A38" s="1" t="s">
        <v>244</v>
      </c>
      <c r="B38" s="1" t="s">
        <v>4</v>
      </c>
      <c r="C38" s="1" t="s">
        <v>245</v>
      </c>
      <c r="E38" s="1" t="s">
        <v>246</v>
      </c>
      <c r="F38" s="3" t="b">
        <v>0</v>
      </c>
      <c r="G38" s="1" t="s">
        <v>48</v>
      </c>
      <c r="H38" s="1" t="s">
        <v>247</v>
      </c>
    </row>
    <row r="39">
      <c r="A39" s="1" t="s">
        <v>248</v>
      </c>
      <c r="B39" s="1" t="s">
        <v>4</v>
      </c>
      <c r="C39" s="1" t="s">
        <v>249</v>
      </c>
      <c r="E39" s="1" t="s">
        <v>250</v>
      </c>
      <c r="F39" s="3" t="b">
        <v>0</v>
      </c>
      <c r="G39" s="1" t="s">
        <v>48</v>
      </c>
      <c r="H39" s="1" t="s">
        <v>251</v>
      </c>
    </row>
  </sheetData>
  <hyperlinks>
    <hyperlink r:id="rId1" ref="K10"/>
    <hyperlink r:id="rId2" ref="L10"/>
    <hyperlink r:id="rId3" ref="Q10"/>
    <hyperlink r:id="rId4" ref="T10"/>
    <hyperlink r:id="rId5" ref="K20"/>
    <hyperlink r:id="rId6" ref="L20"/>
    <hyperlink r:id="rId7" ref="Q20"/>
    <hyperlink r:id="rId8" ref="T20"/>
    <hyperlink r:id="rId9" ref="K21"/>
    <hyperlink r:id="rId10" ref="L21"/>
    <hyperlink r:id="rId11" ref="Q21"/>
    <hyperlink r:id="rId12" ref="T21"/>
    <hyperlink r:id="rId13" ref="T22"/>
    <hyperlink r:id="rId14" ref="K23"/>
    <hyperlink r:id="rId15" ref="L23"/>
    <hyperlink r:id="rId16" ref="Q23"/>
    <hyperlink r:id="rId17" ref="T23"/>
    <hyperlink r:id="rId18" ref="K24"/>
    <hyperlink r:id="rId19" ref="L24"/>
    <hyperlink r:id="rId20" ref="Q24"/>
    <hyperlink r:id="rId21" ref="T24"/>
    <hyperlink r:id="rId22" ref="K25"/>
    <hyperlink r:id="rId23" ref="L25"/>
    <hyperlink r:id="rId24" ref="Q25"/>
    <hyperlink r:id="rId25" ref="T25"/>
    <hyperlink r:id="rId26" ref="K26"/>
    <hyperlink r:id="rId27" ref="L26"/>
    <hyperlink r:id="rId28" ref="Q26"/>
    <hyperlink r:id="rId29" ref="T26"/>
    <hyperlink r:id="rId30" ref="K27"/>
    <hyperlink r:id="rId31" ref="L27"/>
    <hyperlink r:id="rId32" ref="Q27"/>
    <hyperlink r:id="rId33" ref="T27"/>
    <hyperlink r:id="rId34" ref="K28"/>
    <hyperlink r:id="rId35" ref="L28"/>
    <hyperlink r:id="rId36" ref="Q28"/>
    <hyperlink r:id="rId37" ref="T28"/>
    <hyperlink r:id="rId38" ref="K29"/>
    <hyperlink r:id="rId39" ref="L29"/>
    <hyperlink r:id="rId40" ref="Q29"/>
    <hyperlink r:id="rId41" ref="T29"/>
    <hyperlink r:id="rId42" ref="K30"/>
    <hyperlink r:id="rId43" ref="L30"/>
    <hyperlink r:id="rId44" ref="Q30"/>
    <hyperlink r:id="rId45" ref="T30"/>
    <hyperlink r:id="rId46" ref="K31"/>
    <hyperlink r:id="rId47" ref="L31"/>
    <hyperlink r:id="rId48" ref="Q31"/>
    <hyperlink r:id="rId49" ref="T31"/>
    <hyperlink r:id="rId50" ref="K32"/>
    <hyperlink r:id="rId51" ref="L32"/>
    <hyperlink r:id="rId52" ref="Q32"/>
    <hyperlink r:id="rId53" ref="T32"/>
  </hyperlinks>
  <drawing r:id="rId5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8" max="8" width="13.88"/>
  </cols>
  <sheetData>
    <row r="1">
      <c r="A1" s="1" t="s">
        <v>19</v>
      </c>
      <c r="B1" s="1" t="s">
        <v>0</v>
      </c>
      <c r="C1" s="1" t="s">
        <v>20</v>
      </c>
      <c r="D1" s="1" t="s">
        <v>21</v>
      </c>
      <c r="E1" s="1" t="s">
        <v>36</v>
      </c>
      <c r="F1" s="1" t="s">
        <v>252</v>
      </c>
      <c r="G1" s="1" t="s">
        <v>24</v>
      </c>
      <c r="H1" s="1" t="s">
        <v>253</v>
      </c>
      <c r="I1" s="1" t="s">
        <v>25</v>
      </c>
      <c r="J1" s="1" t="s">
        <v>22</v>
      </c>
      <c r="K1" s="1" t="s">
        <v>23</v>
      </c>
      <c r="L1" s="1" t="s">
        <v>26</v>
      </c>
      <c r="M1" s="1" t="s">
        <v>27</v>
      </c>
      <c r="N1" s="1" t="s">
        <v>3</v>
      </c>
      <c r="O1" s="1" t="s">
        <v>28</v>
      </c>
      <c r="P1" s="1" t="s">
        <v>254</v>
      </c>
      <c r="Q1" s="1" t="s">
        <v>29</v>
      </c>
      <c r="R1" s="1" t="s">
        <v>33</v>
      </c>
      <c r="S1" s="1" t="s">
        <v>32</v>
      </c>
      <c r="T1" s="1" t="s">
        <v>37</v>
      </c>
      <c r="U1" s="1" t="s">
        <v>38</v>
      </c>
      <c r="V1" s="1" t="s">
        <v>30</v>
      </c>
      <c r="W1" s="1" t="s">
        <v>31</v>
      </c>
      <c r="X1" s="1" t="s">
        <v>34</v>
      </c>
      <c r="Y1" s="1" t="s">
        <v>35</v>
      </c>
      <c r="Z1" s="1" t="s">
        <v>1</v>
      </c>
      <c r="AA1" s="1" t="s">
        <v>39</v>
      </c>
    </row>
    <row r="2">
      <c r="B2" s="1" t="s">
        <v>4</v>
      </c>
      <c r="C2" s="1" t="s">
        <v>40</v>
      </c>
      <c r="D2" s="1" t="s">
        <v>41</v>
      </c>
      <c r="G2" s="1" t="s">
        <v>48</v>
      </c>
      <c r="I2" s="1" t="s">
        <v>44</v>
      </c>
      <c r="J2" s="1" t="s">
        <v>42</v>
      </c>
      <c r="K2" s="3" t="b">
        <v>1</v>
      </c>
      <c r="L2" s="1" t="s">
        <v>79</v>
      </c>
      <c r="M2" s="1" t="s">
        <v>41</v>
      </c>
      <c r="N2" s="2" t="s">
        <v>6</v>
      </c>
      <c r="O2" s="2" t="s">
        <v>80</v>
      </c>
      <c r="P2" s="2" t="s">
        <v>255</v>
      </c>
      <c r="Q2" s="1" t="s">
        <v>256</v>
      </c>
      <c r="S2" s="1" t="s">
        <v>257</v>
      </c>
      <c r="U2" s="1" t="s">
        <v>258</v>
      </c>
    </row>
    <row r="3">
      <c r="B3" s="1" t="s">
        <v>16</v>
      </c>
      <c r="C3" s="1" t="s">
        <v>54</v>
      </c>
      <c r="D3" s="1" t="s">
        <v>55</v>
      </c>
      <c r="G3" s="1" t="s">
        <v>48</v>
      </c>
      <c r="I3" s="1" t="s">
        <v>57</v>
      </c>
      <c r="J3" s="1" t="s">
        <v>56</v>
      </c>
      <c r="K3" s="3" t="b">
        <v>1</v>
      </c>
      <c r="L3" s="1" t="s">
        <v>79</v>
      </c>
      <c r="M3" s="1" t="s">
        <v>55</v>
      </c>
      <c r="N3" s="2" t="s">
        <v>18</v>
      </c>
      <c r="O3" s="2" t="s">
        <v>80</v>
      </c>
      <c r="Q3" s="1" t="s">
        <v>259</v>
      </c>
      <c r="S3" s="1" t="s">
        <v>257</v>
      </c>
      <c r="U3" s="1" t="s">
        <v>260</v>
      </c>
      <c r="V3" s="1" t="s">
        <v>261</v>
      </c>
      <c r="W3" s="3">
        <v>20.0</v>
      </c>
      <c r="X3" s="1" t="s">
        <v>262</v>
      </c>
    </row>
    <row r="4">
      <c r="B4" s="1" t="s">
        <v>16</v>
      </c>
      <c r="C4" s="1" t="s">
        <v>58</v>
      </c>
      <c r="D4" s="1" t="s">
        <v>59</v>
      </c>
      <c r="G4" s="1" t="s">
        <v>48</v>
      </c>
      <c r="I4" s="1" t="s">
        <v>61</v>
      </c>
      <c r="J4" s="1" t="s">
        <v>60</v>
      </c>
      <c r="K4" s="3" t="b">
        <v>1</v>
      </c>
      <c r="L4" s="1" t="s">
        <v>79</v>
      </c>
      <c r="M4" s="1" t="s">
        <v>59</v>
      </c>
      <c r="N4" s="2" t="s">
        <v>18</v>
      </c>
      <c r="O4" s="2" t="s">
        <v>80</v>
      </c>
      <c r="Q4" s="1" t="s">
        <v>263</v>
      </c>
      <c r="S4" s="1" t="s">
        <v>257</v>
      </c>
      <c r="U4" s="1" t="s">
        <v>260</v>
      </c>
      <c r="V4" s="1" t="s">
        <v>264</v>
      </c>
      <c r="W4" s="3">
        <v>20.0</v>
      </c>
      <c r="X4" s="1" t="s">
        <v>262</v>
      </c>
    </row>
    <row r="5">
      <c r="B5" s="1" t="s">
        <v>16</v>
      </c>
      <c r="C5" s="1" t="s">
        <v>58</v>
      </c>
      <c r="D5" s="1" t="s">
        <v>59</v>
      </c>
      <c r="E5" s="2" t="s">
        <v>265</v>
      </c>
      <c r="G5" s="1" t="s">
        <v>48</v>
      </c>
      <c r="I5" s="1" t="s">
        <v>61</v>
      </c>
      <c r="J5" s="1" t="s">
        <v>60</v>
      </c>
      <c r="K5" s="3" t="b">
        <v>1</v>
      </c>
      <c r="L5" s="1" t="s">
        <v>79</v>
      </c>
      <c r="M5" s="1" t="s">
        <v>59</v>
      </c>
      <c r="N5" s="2" t="s">
        <v>18</v>
      </c>
      <c r="O5" s="2" t="s">
        <v>80</v>
      </c>
      <c r="Q5" s="1" t="s">
        <v>263</v>
      </c>
      <c r="R5" s="2" t="s">
        <v>266</v>
      </c>
      <c r="S5" s="1" t="s">
        <v>83</v>
      </c>
      <c r="T5" s="6" t="str">
        <f>IMAGE("https://drive.google.com/uc?id=1BkQJtqDOaHaAw-pubyYnlGBDQnf4_eAz")</f>
        <v/>
      </c>
      <c r="U5" s="1" t="s">
        <v>88</v>
      </c>
      <c r="V5" s="1" t="s">
        <v>267</v>
      </c>
      <c r="W5" s="3">
        <v>5.0</v>
      </c>
      <c r="X5" s="1" t="s">
        <v>85</v>
      </c>
      <c r="Y5" s="1" t="s">
        <v>268</v>
      </c>
    </row>
    <row r="6">
      <c r="A6" s="1" t="s">
        <v>74</v>
      </c>
      <c r="B6" s="1" t="s">
        <v>10</v>
      </c>
      <c r="C6" s="1" t="s">
        <v>75</v>
      </c>
      <c r="D6" s="1" t="s">
        <v>76</v>
      </c>
      <c r="E6" s="2" t="s">
        <v>269</v>
      </c>
      <c r="G6" s="1" t="s">
        <v>48</v>
      </c>
      <c r="I6" s="1" t="s">
        <v>78</v>
      </c>
      <c r="J6" s="1" t="s">
        <v>77</v>
      </c>
      <c r="K6" s="3" t="b">
        <v>1</v>
      </c>
      <c r="L6" s="1" t="s">
        <v>79</v>
      </c>
      <c r="M6" s="1" t="s">
        <v>76</v>
      </c>
      <c r="N6" s="2" t="s">
        <v>12</v>
      </c>
      <c r="O6" s="2" t="s">
        <v>80</v>
      </c>
      <c r="Q6" s="1" t="s">
        <v>81</v>
      </c>
      <c r="R6" s="2" t="s">
        <v>270</v>
      </c>
      <c r="S6" s="1" t="s">
        <v>83</v>
      </c>
      <c r="T6" s="4" t="str">
        <f>IMAGE("https://drive.google.com/uc?id=1T00PbEsncvm7Ib3hwRopTsTVAoE28IeH")</f>
        <v/>
      </c>
      <c r="U6" s="1" t="s">
        <v>88</v>
      </c>
      <c r="V6" s="1" t="s">
        <v>271</v>
      </c>
      <c r="W6" s="3">
        <v>1.0</v>
      </c>
      <c r="X6" s="1" t="s">
        <v>85</v>
      </c>
      <c r="Y6" s="1" t="s">
        <v>272</v>
      </c>
    </row>
    <row r="7">
      <c r="A7" s="1" t="s">
        <v>74</v>
      </c>
      <c r="B7" s="1" t="s">
        <v>10</v>
      </c>
      <c r="C7" s="1" t="s">
        <v>75</v>
      </c>
      <c r="D7" s="1" t="s">
        <v>76</v>
      </c>
      <c r="E7" s="2" t="s">
        <v>87</v>
      </c>
      <c r="G7" s="1" t="s">
        <v>48</v>
      </c>
      <c r="I7" s="1" t="s">
        <v>78</v>
      </c>
      <c r="J7" s="1" t="s">
        <v>77</v>
      </c>
      <c r="K7" s="3" t="b">
        <v>1</v>
      </c>
      <c r="L7" s="1" t="s">
        <v>79</v>
      </c>
      <c r="M7" s="1" t="s">
        <v>76</v>
      </c>
      <c r="N7" s="2" t="s">
        <v>12</v>
      </c>
      <c r="O7" s="2" t="s">
        <v>80</v>
      </c>
      <c r="Q7" s="1" t="s">
        <v>81</v>
      </c>
      <c r="R7" s="2" t="s">
        <v>84</v>
      </c>
      <c r="S7" s="1" t="s">
        <v>83</v>
      </c>
      <c r="T7" s="4" t="str">
        <f>IMAGE("https://drive.google.com/uc?id=1986uKB8ne4rTP2ET6PU4GClKqpOv7qZ4")</f>
        <v/>
      </c>
      <c r="U7" s="1" t="s">
        <v>88</v>
      </c>
      <c r="V7" s="1" t="s">
        <v>82</v>
      </c>
      <c r="W7" s="3">
        <v>2.0</v>
      </c>
      <c r="X7" s="1" t="s">
        <v>85</v>
      </c>
      <c r="Y7" s="1" t="s">
        <v>86</v>
      </c>
    </row>
    <row r="8">
      <c r="A8" s="1" t="s">
        <v>100</v>
      </c>
      <c r="B8" s="1" t="s">
        <v>16</v>
      </c>
      <c r="C8" s="1" t="s">
        <v>101</v>
      </c>
      <c r="E8" s="2" t="s">
        <v>108</v>
      </c>
      <c r="G8" s="1" t="s">
        <v>273</v>
      </c>
      <c r="I8" s="1" t="s">
        <v>103</v>
      </c>
      <c r="J8" s="1" t="s">
        <v>102</v>
      </c>
      <c r="K8" s="3" t="b">
        <v>1</v>
      </c>
      <c r="L8" s="1" t="s">
        <v>79</v>
      </c>
      <c r="M8" s="1" t="s">
        <v>101</v>
      </c>
      <c r="N8" s="2" t="s">
        <v>18</v>
      </c>
      <c r="O8" s="2" t="s">
        <v>80</v>
      </c>
      <c r="Q8" s="1" t="s">
        <v>104</v>
      </c>
      <c r="R8" s="2" t="s">
        <v>106</v>
      </c>
      <c r="S8" s="1" t="s">
        <v>83</v>
      </c>
      <c r="T8" s="4" t="str">
        <f>IMAGE("https://drive.google.com/uc?id=1axzQogpet0OO1ucMNmyY927qLN5VCkrA")</f>
        <v/>
      </c>
      <c r="U8" s="1" t="s">
        <v>88</v>
      </c>
      <c r="V8" s="1" t="s">
        <v>105</v>
      </c>
      <c r="W8" s="3">
        <v>8.0</v>
      </c>
      <c r="X8" s="1" t="s">
        <v>85</v>
      </c>
      <c r="Y8" s="1" t="s">
        <v>107</v>
      </c>
      <c r="Z8" s="1" t="s">
        <v>17</v>
      </c>
      <c r="AA8" s="1" t="s">
        <v>109</v>
      </c>
    </row>
    <row r="9">
      <c r="A9" s="1" t="s">
        <v>110</v>
      </c>
      <c r="B9" s="1" t="s">
        <v>16</v>
      </c>
      <c r="C9" s="1" t="s">
        <v>111</v>
      </c>
      <c r="E9" s="2" t="s">
        <v>118</v>
      </c>
      <c r="G9" s="1" t="s">
        <v>273</v>
      </c>
      <c r="I9" s="1" t="s">
        <v>113</v>
      </c>
      <c r="J9" s="1" t="s">
        <v>112</v>
      </c>
      <c r="K9" s="3" t="b">
        <v>1</v>
      </c>
      <c r="L9" s="1" t="s">
        <v>79</v>
      </c>
      <c r="M9" s="1" t="s">
        <v>111</v>
      </c>
      <c r="N9" s="2" t="s">
        <v>18</v>
      </c>
      <c r="O9" s="2" t="s">
        <v>80</v>
      </c>
      <c r="Q9" s="1" t="s">
        <v>114</v>
      </c>
      <c r="R9" s="2" t="s">
        <v>116</v>
      </c>
      <c r="S9" s="1" t="s">
        <v>83</v>
      </c>
      <c r="T9" s="4" t="str">
        <f>IMAGE("https://drive.google.com/uc?id=1WC_fkf5LoF-1-3s6sPB48LVswkwD1OEl")</f>
        <v/>
      </c>
      <c r="U9" s="1" t="s">
        <v>88</v>
      </c>
      <c r="V9" s="1" t="s">
        <v>115</v>
      </c>
      <c r="W9" s="3">
        <v>3.0</v>
      </c>
      <c r="X9" s="1" t="s">
        <v>85</v>
      </c>
      <c r="Y9" s="1" t="s">
        <v>117</v>
      </c>
      <c r="Z9" s="1" t="s">
        <v>17</v>
      </c>
      <c r="AA9" s="1" t="s">
        <v>119</v>
      </c>
    </row>
    <row r="10">
      <c r="A10" s="1" t="s">
        <v>120</v>
      </c>
      <c r="B10" s="1" t="s">
        <v>16</v>
      </c>
      <c r="C10" s="1" t="s">
        <v>121</v>
      </c>
      <c r="E10" s="2" t="s">
        <v>274</v>
      </c>
      <c r="G10" s="1" t="s">
        <v>273</v>
      </c>
      <c r="I10" s="1" t="s">
        <v>123</v>
      </c>
      <c r="J10" s="1" t="s">
        <v>122</v>
      </c>
      <c r="K10" s="3" t="b">
        <v>1</v>
      </c>
      <c r="L10" s="1" t="s">
        <v>79</v>
      </c>
      <c r="M10" s="1" t="s">
        <v>121</v>
      </c>
      <c r="N10" s="2" t="s">
        <v>18</v>
      </c>
      <c r="O10" s="2" t="s">
        <v>80</v>
      </c>
      <c r="Q10" s="1" t="s">
        <v>275</v>
      </c>
      <c r="R10" s="2" t="s">
        <v>276</v>
      </c>
      <c r="S10" s="1" t="s">
        <v>83</v>
      </c>
      <c r="T10" s="4" t="str">
        <f>IMAGE("https://drive.google.com/uc?id=1RoYL0-FdR0okT1CV-_ZE3797vGqHqETV")</f>
        <v/>
      </c>
      <c r="U10" s="1" t="s">
        <v>88</v>
      </c>
      <c r="V10" s="1" t="s">
        <v>277</v>
      </c>
      <c r="W10" s="3">
        <v>6.0</v>
      </c>
      <c r="X10" s="1" t="s">
        <v>85</v>
      </c>
      <c r="Y10" s="1" t="s">
        <v>278</v>
      </c>
      <c r="Z10" s="1" t="s">
        <v>17</v>
      </c>
      <c r="AA10" s="1" t="s">
        <v>279</v>
      </c>
    </row>
    <row r="11">
      <c r="A11" s="1" t="s">
        <v>125</v>
      </c>
      <c r="B11" s="1" t="s">
        <v>16</v>
      </c>
      <c r="C11" s="1" t="s">
        <v>126</v>
      </c>
      <c r="E11" s="2" t="s">
        <v>133</v>
      </c>
      <c r="G11" s="1" t="s">
        <v>273</v>
      </c>
      <c r="I11" s="1" t="s">
        <v>128</v>
      </c>
      <c r="J11" s="1" t="s">
        <v>127</v>
      </c>
      <c r="K11" s="3" t="b">
        <v>1</v>
      </c>
      <c r="L11" s="1" t="s">
        <v>79</v>
      </c>
      <c r="M11" s="1" t="s">
        <v>126</v>
      </c>
      <c r="N11" s="2" t="s">
        <v>18</v>
      </c>
      <c r="O11" s="2" t="s">
        <v>80</v>
      </c>
      <c r="Q11" s="1" t="s">
        <v>129</v>
      </c>
      <c r="R11" s="2" t="s">
        <v>131</v>
      </c>
      <c r="S11" s="1" t="s">
        <v>83</v>
      </c>
      <c r="T11" s="4" t="str">
        <f>IMAGE("https://drive.google.com/uc?id=1J2kf8Cb7CEpYXJoH3BS_7VnM5zVRPdq_")</f>
        <v/>
      </c>
      <c r="U11" s="1" t="s">
        <v>88</v>
      </c>
      <c r="V11" s="1" t="s">
        <v>130</v>
      </c>
      <c r="W11" s="3">
        <v>6.0</v>
      </c>
      <c r="X11" s="1" t="s">
        <v>85</v>
      </c>
      <c r="Y11" s="1" t="s">
        <v>132</v>
      </c>
      <c r="Z11" s="1" t="s">
        <v>17</v>
      </c>
      <c r="AA11" s="1" t="s">
        <v>134</v>
      </c>
    </row>
    <row r="12">
      <c r="A12" s="1" t="s">
        <v>135</v>
      </c>
      <c r="B12" s="1" t="s">
        <v>16</v>
      </c>
      <c r="C12" s="1" t="s">
        <v>136</v>
      </c>
      <c r="E12" s="2" t="s">
        <v>142</v>
      </c>
      <c r="G12" s="1" t="s">
        <v>273</v>
      </c>
      <c r="I12" s="1" t="s">
        <v>280</v>
      </c>
      <c r="J12" s="1" t="s">
        <v>137</v>
      </c>
      <c r="K12" s="3" t="b">
        <v>1</v>
      </c>
      <c r="L12" s="1" t="s">
        <v>79</v>
      </c>
      <c r="M12" s="1" t="s">
        <v>136</v>
      </c>
      <c r="N12" s="2" t="s">
        <v>18</v>
      </c>
      <c r="O12" s="2" t="s">
        <v>80</v>
      </c>
      <c r="Q12" s="1" t="s">
        <v>138</v>
      </c>
      <c r="R12" s="2" t="s">
        <v>140</v>
      </c>
      <c r="S12" s="1" t="s">
        <v>83</v>
      </c>
      <c r="T12" s="4" t="str">
        <f>IMAGE("https://drive.google.com/uc?id=1Y6NRtGDmtQIUpTCDgqU5pd78VkCFNVZ0")</f>
        <v/>
      </c>
      <c r="U12" s="1" t="s">
        <v>88</v>
      </c>
      <c r="V12" s="1" t="s">
        <v>139</v>
      </c>
      <c r="W12" s="3">
        <v>5.0</v>
      </c>
      <c r="X12" s="1" t="s">
        <v>85</v>
      </c>
      <c r="Y12" s="1" t="s">
        <v>141</v>
      </c>
      <c r="Z12" s="1" t="s">
        <v>17</v>
      </c>
      <c r="AA12" s="1" t="s">
        <v>143</v>
      </c>
    </row>
    <row r="13">
      <c r="A13" s="1" t="s">
        <v>144</v>
      </c>
      <c r="B13" s="1" t="s">
        <v>16</v>
      </c>
      <c r="C13" s="1" t="s">
        <v>145</v>
      </c>
      <c r="E13" s="2" t="s">
        <v>152</v>
      </c>
      <c r="G13" s="1" t="s">
        <v>273</v>
      </c>
      <c r="I13" s="1" t="s">
        <v>147</v>
      </c>
      <c r="J13" s="1" t="s">
        <v>146</v>
      </c>
      <c r="K13" s="3" t="b">
        <v>1</v>
      </c>
      <c r="L13" s="1" t="s">
        <v>79</v>
      </c>
      <c r="M13" s="1" t="s">
        <v>145</v>
      </c>
      <c r="N13" s="2" t="s">
        <v>18</v>
      </c>
      <c r="O13" s="2" t="s">
        <v>80</v>
      </c>
      <c r="Q13" s="1" t="s">
        <v>148</v>
      </c>
      <c r="R13" s="2" t="s">
        <v>150</v>
      </c>
      <c r="S13" s="1" t="s">
        <v>83</v>
      </c>
      <c r="T13" s="4" t="str">
        <f>IMAGE("https://drive.google.com/uc?id=1A5L4Yt5tpuT0AXDZXbMQwDaAyOuV3qaQ")</f>
        <v/>
      </c>
      <c r="U13" s="1" t="s">
        <v>88</v>
      </c>
      <c r="V13" s="1" t="s">
        <v>149</v>
      </c>
      <c r="W13" s="3">
        <v>4.0</v>
      </c>
      <c r="X13" s="1" t="s">
        <v>85</v>
      </c>
      <c r="Y13" s="1" t="s">
        <v>151</v>
      </c>
      <c r="Z13" s="1" t="s">
        <v>17</v>
      </c>
      <c r="AA13" s="1" t="s">
        <v>153</v>
      </c>
    </row>
    <row r="14">
      <c r="A14" s="1" t="s">
        <v>154</v>
      </c>
      <c r="B14" s="1" t="s">
        <v>16</v>
      </c>
      <c r="C14" s="1" t="s">
        <v>155</v>
      </c>
      <c r="E14" s="2" t="s">
        <v>162</v>
      </c>
      <c r="G14" s="1" t="s">
        <v>48</v>
      </c>
      <c r="I14" s="1" t="s">
        <v>157</v>
      </c>
      <c r="J14" s="1" t="s">
        <v>156</v>
      </c>
      <c r="K14" s="3" t="b">
        <v>1</v>
      </c>
      <c r="L14" s="1" t="s">
        <v>79</v>
      </c>
      <c r="M14" s="1" t="s">
        <v>155</v>
      </c>
      <c r="N14" s="2" t="s">
        <v>18</v>
      </c>
      <c r="O14" s="2" t="s">
        <v>80</v>
      </c>
      <c r="Q14" s="1" t="s">
        <v>158</v>
      </c>
      <c r="R14" s="2" t="s">
        <v>160</v>
      </c>
      <c r="S14" s="1" t="s">
        <v>83</v>
      </c>
      <c r="T14" s="4" t="str">
        <f>IMAGE("https://drive.google.com/uc?id=109gBhPKLZ7CUpSPuki-t71akx5xBVhjw")</f>
        <v/>
      </c>
      <c r="U14" s="1" t="s">
        <v>88</v>
      </c>
      <c r="V14" s="1" t="s">
        <v>159</v>
      </c>
      <c r="W14" s="3">
        <v>6.0</v>
      </c>
      <c r="X14" s="1" t="s">
        <v>85</v>
      </c>
      <c r="Y14" s="1" t="s">
        <v>161</v>
      </c>
      <c r="Z14" s="1" t="s">
        <v>17</v>
      </c>
      <c r="AA14" s="1" t="s">
        <v>163</v>
      </c>
    </row>
    <row r="15">
      <c r="A15" s="1" t="s">
        <v>164</v>
      </c>
      <c r="B15" s="1" t="s">
        <v>16</v>
      </c>
      <c r="C15" s="1" t="s">
        <v>165</v>
      </c>
      <c r="E15" s="2" t="s">
        <v>172</v>
      </c>
      <c r="G15" s="1" t="s">
        <v>48</v>
      </c>
      <c r="I15" s="1" t="s">
        <v>167</v>
      </c>
      <c r="J15" s="1" t="s">
        <v>166</v>
      </c>
      <c r="K15" s="3" t="b">
        <v>1</v>
      </c>
      <c r="L15" s="1" t="s">
        <v>79</v>
      </c>
      <c r="M15" s="1" t="s">
        <v>165</v>
      </c>
      <c r="N15" s="2" t="s">
        <v>18</v>
      </c>
      <c r="O15" s="2" t="s">
        <v>80</v>
      </c>
      <c r="Q15" s="1" t="s">
        <v>168</v>
      </c>
      <c r="R15" s="2" t="s">
        <v>170</v>
      </c>
      <c r="S15" s="1" t="s">
        <v>83</v>
      </c>
      <c r="T15" s="4" t="str">
        <f>IMAGE("https://drive.google.com/uc?id=1qpnNFRdxDT-5fzEqloOO-FK9a0GhxtA1")</f>
        <v/>
      </c>
      <c r="U15" s="1" t="s">
        <v>88</v>
      </c>
      <c r="V15" s="1" t="s">
        <v>169</v>
      </c>
      <c r="W15" s="3">
        <v>3.0</v>
      </c>
      <c r="X15" s="1" t="s">
        <v>85</v>
      </c>
      <c r="Y15" s="1" t="s">
        <v>171</v>
      </c>
      <c r="Z15" s="1" t="s">
        <v>17</v>
      </c>
      <c r="AA15" s="1" t="s">
        <v>173</v>
      </c>
    </row>
    <row r="16">
      <c r="A16" s="1" t="s">
        <v>174</v>
      </c>
      <c r="B16" s="1" t="s">
        <v>16</v>
      </c>
      <c r="C16" s="1" t="s">
        <v>175</v>
      </c>
      <c r="E16" s="2" t="s">
        <v>182</v>
      </c>
      <c r="G16" s="1" t="s">
        <v>48</v>
      </c>
      <c r="I16" s="1" t="s">
        <v>177</v>
      </c>
      <c r="J16" s="1" t="s">
        <v>176</v>
      </c>
      <c r="K16" s="3" t="b">
        <v>1</v>
      </c>
      <c r="L16" s="1" t="s">
        <v>79</v>
      </c>
      <c r="M16" s="1" t="s">
        <v>175</v>
      </c>
      <c r="N16" s="2" t="s">
        <v>18</v>
      </c>
      <c r="O16" s="2" t="s">
        <v>80</v>
      </c>
      <c r="Q16" s="1" t="s">
        <v>178</v>
      </c>
      <c r="R16" s="2" t="s">
        <v>180</v>
      </c>
      <c r="S16" s="1" t="s">
        <v>83</v>
      </c>
      <c r="T16" s="4" t="str">
        <f>IMAGE("https://drive.google.com/uc?id=11orFzPxTHpyaaZZczJJRK1hAtQt7cb8x")</f>
        <v/>
      </c>
      <c r="U16" s="1" t="s">
        <v>88</v>
      </c>
      <c r="V16" s="1" t="s">
        <v>179</v>
      </c>
      <c r="W16" s="3">
        <v>3.0</v>
      </c>
      <c r="X16" s="1" t="s">
        <v>85</v>
      </c>
      <c r="Y16" s="1" t="s">
        <v>181</v>
      </c>
      <c r="Z16" s="1" t="s">
        <v>17</v>
      </c>
      <c r="AA16" s="1" t="s">
        <v>183</v>
      </c>
    </row>
    <row r="17">
      <c r="A17" s="1" t="s">
        <v>184</v>
      </c>
      <c r="B17" s="1" t="s">
        <v>16</v>
      </c>
      <c r="C17" s="1" t="s">
        <v>185</v>
      </c>
      <c r="E17" s="2" t="s">
        <v>192</v>
      </c>
      <c r="G17" s="1" t="s">
        <v>48</v>
      </c>
      <c r="I17" s="1" t="s">
        <v>187</v>
      </c>
      <c r="J17" s="1" t="s">
        <v>186</v>
      </c>
      <c r="K17" s="3" t="b">
        <v>1</v>
      </c>
      <c r="L17" s="1" t="s">
        <v>79</v>
      </c>
      <c r="M17" s="1" t="s">
        <v>185</v>
      </c>
      <c r="N17" s="2" t="s">
        <v>18</v>
      </c>
      <c r="O17" s="2" t="s">
        <v>80</v>
      </c>
      <c r="Q17" s="1" t="s">
        <v>188</v>
      </c>
      <c r="R17" s="2" t="s">
        <v>190</v>
      </c>
      <c r="S17" s="1" t="s">
        <v>83</v>
      </c>
      <c r="T17" s="4" t="str">
        <f>IMAGE("https://drive.google.com/uc?id=1a-iX9Gd78mBH4NRLoUtncFTcj0Ts8eIB")</f>
        <v/>
      </c>
      <c r="U17" s="1" t="s">
        <v>88</v>
      </c>
      <c r="V17" s="1" t="s">
        <v>189</v>
      </c>
      <c r="W17" s="3">
        <v>3.0</v>
      </c>
      <c r="X17" s="1" t="s">
        <v>85</v>
      </c>
      <c r="Y17" s="1" t="s">
        <v>191</v>
      </c>
      <c r="Z17" s="1" t="s">
        <v>17</v>
      </c>
      <c r="AA17" s="1" t="s">
        <v>193</v>
      </c>
    </row>
    <row r="18">
      <c r="A18" s="1" t="s">
        <v>194</v>
      </c>
      <c r="B18" s="1" t="s">
        <v>16</v>
      </c>
      <c r="C18" s="1" t="s">
        <v>195</v>
      </c>
      <c r="E18" s="2" t="s">
        <v>202</v>
      </c>
      <c r="G18" s="1" t="s">
        <v>48</v>
      </c>
      <c r="I18" s="1" t="s">
        <v>197</v>
      </c>
      <c r="J18" s="1" t="s">
        <v>196</v>
      </c>
      <c r="K18" s="3" t="b">
        <v>1</v>
      </c>
      <c r="L18" s="1" t="s">
        <v>79</v>
      </c>
      <c r="M18" s="1" t="s">
        <v>195</v>
      </c>
      <c r="N18" s="2" t="s">
        <v>18</v>
      </c>
      <c r="O18" s="2" t="s">
        <v>80</v>
      </c>
      <c r="Q18" s="1" t="s">
        <v>198</v>
      </c>
      <c r="R18" s="2" t="s">
        <v>200</v>
      </c>
      <c r="S18" s="1" t="s">
        <v>83</v>
      </c>
      <c r="T18" s="4" t="str">
        <f>IMAGE("https://drive.google.com/uc?id=17fXMbj_BmjDf6pIYhRaHoZJt5mA2nmC1")</f>
        <v/>
      </c>
      <c r="U18" s="1" t="s">
        <v>88</v>
      </c>
      <c r="V18" s="1" t="s">
        <v>199</v>
      </c>
      <c r="W18" s="3">
        <v>3.0</v>
      </c>
      <c r="X18" s="1" t="s">
        <v>85</v>
      </c>
      <c r="Y18" s="1" t="s">
        <v>201</v>
      </c>
      <c r="Z18" s="1" t="s">
        <v>17</v>
      </c>
      <c r="AA18" s="1" t="s">
        <v>203</v>
      </c>
    </row>
    <row r="19">
      <c r="A19" s="1" t="s">
        <v>204</v>
      </c>
      <c r="B19" s="1" t="s">
        <v>16</v>
      </c>
      <c r="C19" s="1" t="s">
        <v>205</v>
      </c>
      <c r="E19" s="2" t="s">
        <v>212</v>
      </c>
      <c r="G19" s="1" t="s">
        <v>48</v>
      </c>
      <c r="I19" s="1" t="s">
        <v>207</v>
      </c>
      <c r="J19" s="1" t="s">
        <v>206</v>
      </c>
      <c r="K19" s="3" t="b">
        <v>1</v>
      </c>
      <c r="L19" s="1" t="s">
        <v>79</v>
      </c>
      <c r="M19" s="1" t="s">
        <v>205</v>
      </c>
      <c r="N19" s="2" t="s">
        <v>18</v>
      </c>
      <c r="O19" s="2" t="s">
        <v>80</v>
      </c>
      <c r="Q19" s="1" t="s">
        <v>208</v>
      </c>
      <c r="R19" s="2" t="s">
        <v>210</v>
      </c>
      <c r="S19" s="1" t="s">
        <v>83</v>
      </c>
      <c r="T19" s="4" t="str">
        <f>IMAGE("https://drive.google.com/uc?id=1LPgH6UL8bQf9gNrRe7uOfOdMCj2WTCX0")</f>
        <v/>
      </c>
      <c r="U19" s="1" t="s">
        <v>88</v>
      </c>
      <c r="V19" s="1" t="s">
        <v>209</v>
      </c>
      <c r="W19" s="3">
        <v>6.0</v>
      </c>
      <c r="X19" s="1" t="s">
        <v>85</v>
      </c>
      <c r="Y19" s="1" t="s">
        <v>211</v>
      </c>
      <c r="Z19" s="1" t="s">
        <v>17</v>
      </c>
      <c r="AA19" s="1" t="s">
        <v>213</v>
      </c>
    </row>
    <row r="20">
      <c r="A20" s="1" t="s">
        <v>214</v>
      </c>
      <c r="B20" s="1" t="s">
        <v>16</v>
      </c>
      <c r="C20" s="1" t="s">
        <v>215</v>
      </c>
      <c r="E20" s="2" t="s">
        <v>222</v>
      </c>
      <c r="G20" s="1" t="s">
        <v>48</v>
      </c>
      <c r="I20" s="1" t="s">
        <v>217</v>
      </c>
      <c r="J20" s="1" t="s">
        <v>216</v>
      </c>
      <c r="K20" s="3" t="b">
        <v>1</v>
      </c>
      <c r="L20" s="1" t="s">
        <v>79</v>
      </c>
      <c r="M20" s="1" t="s">
        <v>215</v>
      </c>
      <c r="N20" s="2" t="s">
        <v>18</v>
      </c>
      <c r="O20" s="2" t="s">
        <v>80</v>
      </c>
      <c r="Q20" s="1" t="s">
        <v>218</v>
      </c>
      <c r="R20" s="2" t="s">
        <v>220</v>
      </c>
      <c r="S20" s="1" t="s">
        <v>83</v>
      </c>
      <c r="T20" s="4" t="str">
        <f>IMAGE("https://drive.google.com/uc?id=1M9asYKpO46bvcdqPMJjAgSp8LVbeRykh")</f>
        <v/>
      </c>
      <c r="U20" s="1" t="s">
        <v>88</v>
      </c>
      <c r="V20" s="1" t="s">
        <v>219</v>
      </c>
      <c r="W20" s="3">
        <v>3.0</v>
      </c>
      <c r="X20" s="1" t="s">
        <v>85</v>
      </c>
      <c r="Y20" s="1" t="s">
        <v>221</v>
      </c>
      <c r="Z20" s="1" t="s">
        <v>17</v>
      </c>
      <c r="AA20" s="1" t="s">
        <v>223</v>
      </c>
    </row>
  </sheetData>
  <hyperlinks>
    <hyperlink r:id="rId1" ref="N2"/>
    <hyperlink r:id="rId2" ref="O2"/>
    <hyperlink r:id="rId3" ref="P2"/>
    <hyperlink r:id="rId4" ref="N3"/>
    <hyperlink r:id="rId5" ref="O3"/>
    <hyperlink r:id="rId6" ref="N4"/>
    <hyperlink r:id="rId7" ref="O4"/>
    <hyperlink r:id="rId8" ref="E5"/>
    <hyperlink r:id="rId9" ref="N5"/>
    <hyperlink r:id="rId10" ref="O5"/>
    <hyperlink r:id="rId11" ref="R5"/>
    <hyperlink r:id="rId12" ref="E6"/>
    <hyperlink r:id="rId13" ref="N6"/>
    <hyperlink r:id="rId14" ref="O6"/>
    <hyperlink r:id="rId15" ref="R6"/>
    <hyperlink r:id="rId16" ref="E7"/>
    <hyperlink r:id="rId17" ref="N7"/>
    <hyperlink r:id="rId18" ref="O7"/>
    <hyperlink r:id="rId19" ref="R7"/>
    <hyperlink r:id="rId20" ref="E8"/>
    <hyperlink r:id="rId21" ref="N8"/>
    <hyperlink r:id="rId22" ref="O8"/>
    <hyperlink r:id="rId23" ref="R8"/>
    <hyperlink r:id="rId24" ref="E9"/>
    <hyperlink r:id="rId25" ref="N9"/>
    <hyperlink r:id="rId26" ref="O9"/>
    <hyperlink r:id="rId27" ref="R9"/>
    <hyperlink r:id="rId28" ref="E10"/>
    <hyperlink r:id="rId29" ref="N10"/>
    <hyperlink r:id="rId30" ref="O10"/>
    <hyperlink r:id="rId31" ref="R10"/>
    <hyperlink r:id="rId32" ref="E11"/>
    <hyperlink r:id="rId33" ref="N11"/>
    <hyperlink r:id="rId34" ref="O11"/>
    <hyperlink r:id="rId35" ref="R11"/>
    <hyperlink r:id="rId36" ref="E12"/>
    <hyperlink r:id="rId37" ref="N12"/>
    <hyperlink r:id="rId38" ref="O12"/>
    <hyperlink r:id="rId39" ref="R12"/>
    <hyperlink r:id="rId40" ref="E13"/>
    <hyperlink r:id="rId41" ref="N13"/>
    <hyperlink r:id="rId42" ref="O13"/>
    <hyperlink r:id="rId43" ref="R13"/>
    <hyperlink r:id="rId44" ref="E14"/>
    <hyperlink r:id="rId45" ref="N14"/>
    <hyperlink r:id="rId46" ref="O14"/>
    <hyperlink r:id="rId47" ref="R14"/>
    <hyperlink r:id="rId48" ref="E15"/>
    <hyperlink r:id="rId49" ref="N15"/>
    <hyperlink r:id="rId50" ref="O15"/>
    <hyperlink r:id="rId51" ref="R15"/>
    <hyperlink r:id="rId52" ref="E16"/>
    <hyperlink r:id="rId53" ref="N16"/>
    <hyperlink r:id="rId54" ref="O16"/>
    <hyperlink r:id="rId55" ref="R16"/>
    <hyperlink r:id="rId56" ref="E17"/>
    <hyperlink r:id="rId57" ref="N17"/>
    <hyperlink r:id="rId58" ref="O17"/>
    <hyperlink r:id="rId59" ref="R17"/>
    <hyperlink r:id="rId60" ref="E18"/>
    <hyperlink r:id="rId61" ref="N18"/>
    <hyperlink r:id="rId62" ref="O18"/>
    <hyperlink r:id="rId63" ref="R18"/>
    <hyperlink r:id="rId64" ref="E19"/>
    <hyperlink r:id="rId65" ref="N19"/>
    <hyperlink r:id="rId66" ref="O19"/>
    <hyperlink r:id="rId67" ref="R19"/>
    <hyperlink r:id="rId68" ref="E20"/>
    <hyperlink r:id="rId69" ref="N20"/>
    <hyperlink r:id="rId70" ref="O20"/>
    <hyperlink r:id="rId71" ref="R20"/>
  </hyperlinks>
  <drawing r:id="rId7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s>
  <sheetData>
    <row r="1">
      <c r="B1" s="1" t="s">
        <v>281</v>
      </c>
      <c r="C1" s="1" t="s">
        <v>282</v>
      </c>
      <c r="D1" s="1" t="s">
        <v>283</v>
      </c>
      <c r="E1" s="1" t="s">
        <v>284</v>
      </c>
      <c r="G1" s="1" t="s">
        <v>285</v>
      </c>
    </row>
    <row r="2">
      <c r="A2" s="1" t="s">
        <v>286</v>
      </c>
      <c r="B2" s="7">
        <v>0.03</v>
      </c>
      <c r="C2" s="7">
        <v>0.01</v>
      </c>
      <c r="D2" s="7">
        <v>0.0</v>
      </c>
      <c r="E2" s="8"/>
      <c r="G2" s="1" t="s">
        <v>287</v>
      </c>
      <c r="H2" s="1">
        <v>5.0</v>
      </c>
    </row>
    <row r="3">
      <c r="A3" s="1" t="s">
        <v>288</v>
      </c>
      <c r="B3" s="8">
        <f>MULTIPLY(B2*H2, H4)</f>
        <v>1.05</v>
      </c>
      <c r="C3" s="8"/>
      <c r="D3" s="8"/>
      <c r="E3" s="8"/>
      <c r="G3" s="1" t="s">
        <v>289</v>
      </c>
      <c r="H3" s="1">
        <v>5.0</v>
      </c>
    </row>
    <row r="4">
      <c r="A4" s="1" t="s">
        <v>290</v>
      </c>
      <c r="B4" s="8">
        <f>MULTIPLY(B2*H2, H4*H3)</f>
        <v>5.25</v>
      </c>
      <c r="C4" s="8">
        <f>MULTIPLY(C2*H2, H4*H3)</f>
        <v>1.75</v>
      </c>
      <c r="D4" s="8"/>
      <c r="E4" s="8">
        <f t="shared" ref="E4:E5" si="2">SUM(B4:D4)</f>
        <v>7</v>
      </c>
      <c r="G4" s="1" t="s">
        <v>291</v>
      </c>
      <c r="H4" s="1">
        <v>7.0</v>
      </c>
    </row>
    <row r="5">
      <c r="A5" s="1" t="s">
        <v>292</v>
      </c>
      <c r="B5" s="8">
        <f t="shared" ref="B5:C5" si="1">MULTIPLY(B4, 4)</f>
        <v>21</v>
      </c>
      <c r="C5" s="8">
        <f t="shared" si="1"/>
        <v>7</v>
      </c>
      <c r="D5" s="8"/>
      <c r="E5" s="8">
        <f t="shared" si="2"/>
        <v>28</v>
      </c>
    </row>
  </sheetData>
  <drawing r:id="rId1"/>
</worksheet>
</file>